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4c3bdde994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覽" sheetId="1" r:id="Rc4dc1c813b2d43bb"/>
    <x:sheet xmlns:r="http://schemas.openxmlformats.org/officeDocument/2006/relationships" name="每日檢核" sheetId="2" r:id="Rf4ee5b6468c5432e"/>
    <x:sheet xmlns:r="http://schemas.openxmlformats.org/officeDocument/2006/relationships" name="重訓紀錄" sheetId="3" r:id="R33bfcab0c118414e"/>
    <x:sheet xmlns:r="http://schemas.openxmlformats.org/officeDocument/2006/relationships" name="資金控制" sheetId="4" r:id="Ra11e2fdde8944dea"/>
    <x:sheet xmlns:r="http://schemas.openxmlformats.org/officeDocument/2006/relationships" name="每週檢討" sheetId="5" r:id="Rd408379890364fb8"/>
    <x:sheet xmlns:r="http://schemas.openxmlformats.org/officeDocument/2006/relationships" name="規則與身份" sheetId="6" r:id="Rb814e3202033491d"/>
    <x:sheet xmlns:r="http://schemas.openxmlformats.org/officeDocument/2006/relationships" name="飲食紀錄" sheetId="7" r:id="R4e864f80e6254551"/>
    <x:sheet xmlns:r="http://schemas.openxmlformats.org/officeDocument/2006/relationships" name="營養設定" sheetId="8" r:id="R5b3e0e320260469b"/>
    <x:sheet xmlns:r="http://schemas.openxmlformats.org/officeDocument/2006/relationships" name="營養來源" sheetId="9" r:id="Re17a67fc3e5b46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"/>
    <x:numFmt numFmtId="202" formatCode="#,##0.0"/>
    <x:numFmt numFmtId="203" formatCode="#,##0"/>
    <x:numFmt numFmtId="204" formatCode="0.0"/>
    <x:numFmt numFmtId="205" formatCode="0%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324D"/>
      <x:name val="Carlito"/>
    </x:font>
    <x:font>
      <x:b/>
      <x:sz val="18"/>
      <x:color rgb="FF17324D"/>
      <x:name val="Carlito"/>
    </x:font>
    <x:font>
      <x:i/>
      <x:sz val="11"/>
      <x:color rgb="FF17324D"/>
      <x:name val="Carlito"/>
    </x:font>
    <x:font>
      <x:b/>
      <x:sz val="11"/>
      <x:color rgb="FF2E7D5B"/>
      <x:name val="Carlito"/>
    </x:font>
    <x:font>
      <x:b/>
      <x:sz val="11"/>
      <x:color rgb="FFB42318"/>
      <x:name val="Carlito"/>
    </x:font>
    <x:font>
      <x:b/>
      <x:sz val="16"/>
      <x:color rgb="FFFFFFFF"/>
      <x:name val="Carlito"/>
    </x:font>
    <x:font>
      <x:sz val="11"/>
      <x:color rgb="FF8A5A00"/>
      <x:name val="Carlito"/>
    </x:font>
  </x:fonts>
  <x:fills count="6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9F0F7"/>
      </x:patternFill>
    </x:fill>
    <x:fill>
      <x:patternFill patternType="solid">
        <x:fgColor rgb="FF176B67"/>
      </x:patternFill>
    </x:fill>
    <x:fill>
      <x:patternFill patternType="solid">
        <x:fgColor rgb="FFF2F4F7"/>
      </x:patternFill>
    </x:fill>
    <x:fill>
      <x:patternFill patternType="solid">
        <x:fgColor rgb="FFDDF2F0"/>
      </x:patternFill>
    </x:fill>
    <x:fill>
      <x:patternFill patternType="solid">
        <x:fgColor rgb="FFFFF0DC"/>
      </x:patternFill>
    </x:fill>
    <x:fill>
      <x:patternFill patternType="solid">
        <x:fgColor rgb="FFFDE8E7"/>
      </x:patternFill>
    </x:fill>
    <x:fill>
      <x:patternFill patternType="solid">
        <x:fgColor rgb="FF17324D"/>
      </x:patternFill>
    </x:fill>
    <x:fill>
      <x:patternFill patternType="solid">
        <x:fgColor rgb="FFE9F0F7"/>
      </x:patternFill>
    </x:fill>
    <x:fill>
      <x:patternFill patternType="solid">
        <x:fgColor rgb="FF176B67"/>
      </x:patternFill>
    </x:fill>
    <x:fill>
      <x:patternFill patternType="solid">
        <x:fgColor rgb="FFF2F4F7"/>
      </x:patternFill>
    </x:fill>
    <x:fill>
      <x:patternFill patternType="solid">
        <x:fgColor rgb="FFDDF2F0"/>
      </x:patternFill>
    </x:fill>
    <x:fill>
      <x:patternFill patternType="solid">
        <x:fgColor rgb="FF176B67"/>
      </x:patternFill>
    </x:fill>
    <x:fill>
      <x:patternFill patternType="solid">
        <x:fgColor rgb="FFF2F4F7"/>
      </x:patternFill>
    </x:fill>
    <x:fill>
      <x:patternFill patternType="solid">
        <x:fgColor rgb="FFE5F3EB"/>
      </x:patternFill>
    </x:fill>
    <x:fill>
      <x:patternFill patternType="solid">
        <x:fgColor rgb="FFFDE8E7"/>
      </x:patternFill>
    </x:fill>
    <x:fill>
      <x:patternFill patternType="solid">
        <x:fgColor rgb="FF176B67"/>
      </x:patternFill>
    </x:fill>
    <x:fill>
      <x:patternFill patternType="solid">
        <x:fgColor rgb="FF17324D"/>
      </x:patternFill>
    </x:fill>
    <x:fill>
      <x:patternFill patternType="solid">
        <x:fgColor rgb="FFEEF4FA"/>
      </x:patternFill>
    </x:fill>
    <x:fill>
      <x:patternFill patternType="solid">
        <x:fgColor rgb="FFF2F4F7"/>
      </x:patternFill>
    </x:fill>
    <x:fill>
      <x:patternFill patternType="solid">
        <x:fgColor rgb="FFDDF2F0"/>
      </x:patternFill>
    </x:fill>
    <x:fill>
      <x:patternFill patternType="solid">
        <x:fgColor rgb="FF176B67"/>
      </x:patternFill>
    </x:fill>
    <x:fill>
      <x:patternFill patternType="solid">
        <x:fgColor rgb="FFFFF4CC"/>
      </x:patternFill>
    </x:fill>
    <x:fill>
      <x:patternFill patternType="solid">
        <x:fgColor rgb="FFE5F3EB"/>
      </x:patternFill>
    </x:fill>
    <x:fill>
      <x:patternFill patternType="solid">
        <x:fgColor rgb="FF17324D"/>
      </x:patternFill>
    </x:fill>
    <x:fill>
      <x:patternFill patternType="solid">
        <x:fgColor rgb="FFEEF4FA"/>
      </x:patternFill>
    </x:fill>
    <x:fill>
      <x:patternFill patternType="solid">
        <x:fgColor rgb="FFF2F4F7"/>
      </x:patternFill>
    </x:fill>
    <x:fill>
      <x:patternFill patternType="solid">
        <x:fgColor rgb="FF176B67"/>
      </x:patternFill>
    </x:fill>
    <x:fill>
      <x:patternFill patternType="solid">
        <x:fgColor rgb="FFFFF4CC"/>
      </x:patternFill>
    </x:fill>
    <x:fill>
      <x:patternFill patternType="solid">
        <x:fgColor rgb="FFE5F3EB"/>
      </x:patternFill>
    </x:fill>
    <x:fill>
      <x:patternFill patternType="solid">
        <x:fgColor rgb="FF17324D"/>
      </x:patternFill>
    </x:fill>
    <x:fill>
      <x:patternFill patternType="solid">
        <x:fgColor rgb="FFEEF4FA"/>
      </x:patternFill>
    </x:fill>
    <x:fill>
      <x:patternFill patternType="solid">
        <x:fgColor rgb="FFF2F4F7"/>
      </x:patternFill>
    </x:fill>
    <x:fill>
      <x:patternFill patternType="solid">
        <x:fgColor rgb="FF176B67"/>
      </x:patternFill>
    </x:fill>
    <x:fill>
      <x:patternFill patternType="solid">
        <x:fgColor rgb="FFFFF4CC"/>
      </x:patternFill>
    </x:fill>
    <x:fill>
      <x:patternFill patternType="solid">
        <x:fgColor rgb="FFE5F3EB"/>
      </x:patternFill>
    </x:fill>
    <x:fill>
      <x:patternFill patternType="solid">
        <x:fgColor rgb="FFF2F4F7"/>
      </x:patternFill>
    </x:fill>
    <x:fill>
      <x:patternFill patternType="solid">
        <x:fgColor rgb="FF17324D"/>
      </x:patternFill>
    </x:fill>
    <x:fill>
      <x:patternFill patternType="solid">
        <x:fgColor rgb="FFEEF4FA"/>
      </x:patternFill>
    </x:fill>
    <x:fill>
      <x:patternFill patternType="solid">
        <x:fgColor rgb="FF176B67"/>
      </x:patternFill>
    </x:fill>
    <x:fill>
      <x:patternFill patternType="solid">
        <x:fgColor rgb="FFFFF4CC"/>
      </x:patternFill>
    </x:fill>
    <x:fill>
      <x:patternFill patternType="solid">
        <x:fgColor rgb="FFE5F3EB"/>
      </x:patternFill>
    </x:fill>
    <x:fill>
      <x:patternFill patternType="solid">
        <x:fgColor rgb="FFF2F4F7"/>
      </x:patternFill>
    </x:fill>
    <x:fill>
      <x:patternFill patternType="solid">
        <x:fgColor rgb="FF17324D"/>
      </x:patternFill>
    </x:fill>
    <x:fill>
      <x:patternFill patternType="solid">
        <x:fgColor rgb="FFEEF4FA"/>
      </x:patternFill>
    </x:fill>
    <x:fill>
      <x:patternFill patternType="solid">
        <x:fgColor rgb="FF176B67"/>
      </x:patternFill>
    </x:fill>
    <x:fill>
      <x:patternFill patternType="solid">
        <x:fgColor rgb="FFFFF4CC"/>
      </x:patternFill>
    </x:fill>
    <x:fill>
      <x:patternFill patternType="solid">
        <x:fgColor rgb="FFE5F3EB"/>
      </x:patternFill>
    </x:fill>
    <x:fill>
      <x:patternFill patternType="solid">
        <x:fgColor rgb="FFF2F4F7"/>
      </x:patternFill>
    </x:fill>
    <x:fill>
      <x:patternFill patternType="solid">
        <x:fgColor rgb="FF17324D"/>
      </x:patternFill>
    </x:fill>
    <x:fill>
      <x:patternFill patternType="solid">
        <x:fgColor rgb="FFEEF4FA"/>
      </x:patternFill>
    </x:fill>
    <x:fill>
      <x:patternFill patternType="solid">
        <x:fgColor rgb="FFFFF4CC"/>
      </x:patternFill>
    </x:fill>
    <x:fill>
      <x:patternFill patternType="solid">
        <x:fgColor rgb="FFFFF4CC"/>
      </x:patternFill>
    </x:fill>
    <x:fill>
      <x:patternFill patternType="solid">
        <x:fgColor rgb="FFFFF4CC"/>
      </x:patternFill>
    </x:fill>
    <x:fill>
      <x:patternFill patternType="solid">
        <x:fgColor rgb="FF176B67"/>
      </x:patternFill>
    </x:fill>
    <x:fill>
      <x:patternFill patternType="solid">
        <x:fgColor rgb="FFFFF4CC"/>
      </x:patternFill>
    </x:fill>
    <x:fill>
      <x:patternFill patternType="solid">
        <x:fgColor rgb="FFE5F3EB"/>
      </x:patternFill>
    </x:fill>
    <x:fill>
      <x:patternFill patternType="solid">
        <x:fgColor rgb="FFF2F4F7"/>
      </x:patternFill>
    </x:fill>
    <x:fill>
      <x:patternFill patternType="solid">
        <x:fgColor rgb="FFFFF4CC"/>
      </x:patternFill>
    </x:fill>
    <x:fill>
      <x:patternFill patternType="solid">
        <x:fgColor rgb="FFFFF4CC"/>
      </x:patternFill>
    </x:fill>
    <x:fill>
      <x:patternFill patternType="solid">
        <x:fgColor rgb="FFFFF4CC"/>
      </x:patternFill>
    </x:fill>
    <x:fill>
      <x:patternFill patternType="solid">
        <x:fgColor rgb="FFFFF4CC"/>
      </x:patternFill>
    </x:fill>
    <x:fill>
      <x:patternFill patternType="solid">
        <x:fgColor rgb="FFFFF4CC"/>
      </x:patternFill>
    </x:fill>
    <x:fill>
      <x:patternFill patternType="solid">
        <x:fgColor rgb="FFFFF4CC"/>
      </x:patternFill>
    </x:fill>
    <x:fill>
      <x:patternFill patternType="solid">
        <x:fgColor rgb="FFFFF4CC"/>
      </x:patternFill>
    </x:fill>
    <x:fill>
      <x:patternFill patternType="solid">
        <x:fgColor rgb="FFFFF4CC"/>
      </x:patternFill>
    </x:fill>
    <x:fill>
      <x:patternFill patternType="solid">
        <x:fgColor rgb="FFFFF4CC"/>
      </x:patternFill>
    </x:fill>
  </x:fills>
  <x:borders count="16">
    <x:border/>
    <x:border>
      <x:left style="thin">
        <x:color rgb="FF176B67"/>
      </x:left>
      <x:top style="thin">
        <x:color rgb="FF176B67"/>
      </x:top>
      <x:bottom style="thin">
        <x:color rgb="FF176B67"/>
      </x:bottom>
    </x:border>
    <x:border>
      <x:top style="thin">
        <x:color rgb="FF176B67"/>
      </x:top>
      <x:bottom style="thin">
        <x:color rgb="FF176B67"/>
      </x:bottom>
    </x:border>
    <x:border>
      <x:right style="thin">
        <x:color rgb="FF176B67"/>
      </x:right>
      <x:top style="thin">
        <x:color rgb="FF176B67"/>
      </x:top>
      <x:bottom style="thin">
        <x:color rgb="FF176B67"/>
      </x:bottom>
    </x:border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top style="thin">
        <x:color rgb="FFD0D5DD"/>
      </x:top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</x:borders>
  <x:cellStyleXfs count="1">
    <x:xf numFmtId="0" fontId="0" fillId="0" borderId="0"/>
  </x:cellStyleXfs>
  <x:cellXfs count="3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4" xfId="0" applyNumberFormat="1" applyFont="1" applyFill="1" applyBorder="1"/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6" xfId="0" applyNumberFormat="1" applyFont="1" applyFill="1" applyBorder="1"/>
    <x:xf numFmtId="200" fontId="0" fillId="5" borderId="4" xfId="0" applyNumberFormat="1" applyFont="1" applyFill="1" applyBorder="1"/>
    <x:xf numFmtId="200" fontId="0" fillId="5" borderId="5" xfId="0" applyNumberFormat="1" applyFont="1" applyFill="1" applyBorder="1"/>
    <x:xf numFmtId="200" fontId="0" fillId="5" borderId="6" xfId="0" applyNumberFormat="1" applyFont="1" applyFill="1" applyBorder="1"/>
    <x:xf numFmtId="200" fontId="0" fillId="5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0" fillId="5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0" fontId="0" fillId="5" borderId="6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5" borderId="4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 vertical="center"/>
    </x:xf>
    <x:xf numFmtId="200" fontId="0" fillId="5" borderId="5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200" fontId="0" fillId="5" borderId="6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4" xfId="0" applyNumberFormat="1" applyFont="1" applyFill="1" applyBorder="1"/>
    <x:xf numFmtId="202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201" fontId="0" fillId="0" borderId="6" xfId="0" applyNumberFormat="1" applyFont="1" applyFill="1" applyBorder="1"/>
    <x:xf numFmtId="202" fontId="0" fillId="0" borderId="6" xfId="0" applyNumberFormat="1" applyFont="1" applyFill="1" applyBorder="1"/>
    <x:xf numFmtId="202" fontId="0" fillId="6" borderId="4" xfId="0" applyNumberFormat="1" applyFont="1" applyFill="1" applyBorder="1"/>
    <x:xf numFmtId="202" fontId="0" fillId="6" borderId="5" xfId="0" applyNumberFormat="1" applyFont="1" applyFill="1" applyBorder="1"/>
    <x:xf numFmtId="202" fontId="0" fillId="6" borderId="6" xfId="0" applyNumberFormat="1" applyFont="1" applyFill="1" applyBorder="1"/>
    <x:xf numFmtId="201" fontId="0" fillId="0" borderId="4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2" fontId="0" fillId="6" borderId="4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2" fontId="0" fillId="6" borderId="5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2" fontId="0" fillId="6" borderId="6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horizontal="center" vertical="center"/>
    </x:xf>
    <x:xf numFmtId="202" fontId="0" fillId="0" borderId="4" xfId="0" applyNumberFormat="1" applyFont="1" applyFill="1" applyBorder="1" applyAlignment="1">
      <x:alignment horizontal="center" vertical="center"/>
    </x:xf>
    <x:xf numFmtId="202" fontId="0" fillId="6" borderId="4" xfId="0" applyNumberFormat="1" applyFont="1" applyFill="1" applyBorder="1" applyAlignment="1">
      <x:alignment horizontal="center" vertical="center"/>
    </x:xf>
    <x:xf numFmtId="201" fontId="0" fillId="0" borderId="5" xfId="0" applyNumberFormat="1" applyFont="1" applyFill="1" applyBorder="1" applyAlignment="1">
      <x:alignment horizontal="center" vertical="center"/>
    </x:xf>
    <x:xf numFmtId="202" fontId="0" fillId="0" borderId="5" xfId="0" applyNumberFormat="1" applyFont="1" applyFill="1" applyBorder="1" applyAlignment="1">
      <x:alignment horizontal="center" vertical="center"/>
    </x:xf>
    <x:xf numFmtId="202" fontId="0" fillId="6" borderId="5" xfId="0" applyNumberFormat="1" applyFont="1" applyFill="1" applyBorder="1" applyAlignment="1">
      <x:alignment horizontal="center" vertical="center"/>
    </x:xf>
    <x:xf numFmtId="201" fontId="0" fillId="0" borderId="6" xfId="0" applyNumberFormat="1" applyFont="1" applyFill="1" applyBorder="1" applyAlignment="1">
      <x:alignment horizontal="center" vertical="center"/>
    </x:xf>
    <x:xf numFmtId="202" fontId="0" fillId="0" borderId="6" xfId="0" applyNumberFormat="1" applyFont="1" applyFill="1" applyBorder="1" applyAlignment="1">
      <x:alignment horizontal="center" vertical="center"/>
    </x:xf>
    <x:xf numFmtId="202" fontId="0" fillId="6" borderId="6" xfId="0" applyNumberFormat="1" applyFont="1" applyFill="1" applyBorder="1" applyAlignment="1">
      <x:alignment horizontal="center" vertical="center"/>
    </x:xf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203" fontId="0" fillId="0" borderId="4" xfId="0" applyNumberFormat="1" applyFont="1" applyFill="1" applyBorder="1"/>
    <x:xf numFmtId="203" fontId="0" fillId="0" borderId="5" xfId="0" applyNumberFormat="1" applyFont="1" applyFill="1" applyBorder="1"/>
    <x:xf numFmtId="203" fontId="0" fillId="0" borderId="6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7" xfId="0" applyNumberFormat="1" applyFont="1" applyFill="1" applyBorder="1"/>
    <x:xf numFmtId="0" fontId="4" fillId="6" borderId="5" xfId="0" applyNumberFormat="1" applyFont="1" applyFill="1" applyBorder="1"/>
    <x:xf numFmtId="0" fontId="4" fillId="6" borderId="8" xfId="0" applyNumberFormat="1" applyFont="1" applyFill="1" applyBorder="1"/>
    <x:xf numFmtId="203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0" fontId="0" fillId="0" borderId="9" xfId="0" applyNumberFormat="1" applyFont="1" applyFill="1" applyBorder="1"/>
    <x:xf numFmtId="200" fontId="0" fillId="0" borderId="10" xfId="0" applyNumberFormat="1" applyFont="1" applyFill="1" applyBorder="1"/>
    <x:xf numFmtId="0" fontId="0" fillId="0" borderId="10" xfId="0" applyNumberFormat="1" applyFont="1" applyFill="1" applyBorder="1"/>
    <x:xf numFmtId="204" fontId="0" fillId="0" borderId="10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0" borderId="8" xfId="0" applyNumberFormat="1" applyFont="1" applyFill="1" applyBorder="1"/>
    <x:xf numFmtId="200" fontId="0" fillId="0" borderId="12" xfId="0" applyNumberFormat="1" applyFont="1" applyFill="1" applyBorder="1"/>
    <x:xf numFmtId="0" fontId="0" fillId="0" borderId="12" xfId="0" applyNumberFormat="1" applyFont="1" applyFill="1" applyBorder="1"/>
    <x:xf numFmtId="204" fontId="0" fillId="0" borderId="12" xfId="0" applyNumberFormat="1" applyFont="1" applyFill="1" applyBorder="1"/>
    <x:xf numFmtId="0" fontId="0" fillId="7" borderId="12" xfId="0" applyNumberFormat="1" applyFont="1" applyFill="1" applyBorder="1"/>
    <x:xf numFmtId="0" fontId="0" fillId="7" borderId="7" xfId="0" applyNumberFormat="1" applyFont="1" applyFill="1" applyBorder="1"/>
    <x:xf numFmtId="0" fontId="0" fillId="0" borderId="13" xfId="0" applyNumberFormat="1" applyFont="1" applyFill="1" applyBorder="1"/>
    <x:xf numFmtId="200" fontId="0" fillId="0" borderId="14" xfId="0" applyNumberFormat="1" applyFont="1" applyFill="1" applyBorder="1"/>
    <x:xf numFmtId="0" fontId="0" fillId="0" borderId="14" xfId="0" applyNumberFormat="1" applyFont="1" applyFill="1" applyBorder="1"/>
    <x:xf numFmtId="204" fontId="0" fillId="0" borderId="14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0" borderId="9" xfId="0" applyNumberFormat="1" applyFont="1" applyFill="1" applyBorder="1" applyAlignment="1">
      <x:alignment horizontal="center"/>
    </x:xf>
    <x:xf numFmtId="200" fontId="0" fillId="0" borderId="1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204" fontId="0" fillId="0" borderId="10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200" fontId="0" fillId="0" borderId="12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204" fontId="0" fillId="0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200" fontId="0" fillId="0" borderId="14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204" fontId="0" fillId="0" borderId="14" xfId="0" applyNumberFormat="1" applyFont="1" applyFill="1" applyBorder="1" applyAlignment="1">
      <x:alignment horizontal="center"/>
    </x:xf>
    <x:xf numFmtId="0" fontId="0" fillId="7" borderId="10" xfId="0" applyNumberFormat="1" applyFont="1" applyFill="1" applyBorder="1" applyAlignment="1">
      <x:alignment wrapText="1"/>
    </x:xf>
    <x:xf numFmtId="0" fontId="0" fillId="7" borderId="11" xfId="0" applyNumberFormat="1" applyFont="1" applyFill="1" applyBorder="1" applyAlignment="1">
      <x:alignment wrapText="1"/>
    </x:xf>
    <x:xf numFmtId="0" fontId="0" fillId="7" borderId="12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0" fontId="0" fillId="7" borderId="14" xfId="0" applyNumberFormat="1" applyFont="1" applyFill="1" applyBorder="1" applyAlignment="1">
      <x:alignment wrapText="1"/>
    </x:xf>
    <x:xf numFmtId="0" fontId="0" fillId="7" borderId="15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/>
    </x:xf>
    <x:xf numFmtId="0" fontId="0" fillId="3" borderId="4" xfId="0" applyNumberFormat="1" applyFont="1" applyFill="1" applyBorder="1" applyAlignment="1">
      <x:alignment vertical="center" wrapText="1"/>
    </x:xf>
    <x:xf numFmtId="0" fontId="3" fillId="2" borderId="5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 wrapText="1"/>
    </x:xf>
    <x:xf numFmtId="0" fontId="3" fillId="2" borderId="6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0" fillId="7" borderId="6" xfId="0" applyNumberFormat="1" applyFont="1" applyFill="1" applyBorder="1"/>
    <x:xf numFmtId="0" fontId="0" fillId="7" borderId="4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0" fontId="0" fillId="7" borderId="6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vertical="center" wrapText="1"/>
    </x:xf>
    <x:xf numFmtId="0" fontId="0" fillId="7" borderId="5" xfId="0" applyNumberFormat="1" applyFont="1" applyFill="1" applyBorder="1" applyAlignment="1">
      <x:alignment vertical="center" wrapText="1"/>
    </x:xf>
    <x:xf numFmtId="0" fontId="0" fillId="7" borderId="6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0" fillId="8" borderId="4" xfId="0" applyNumberFormat="1" applyFont="1" applyFill="1" applyBorder="1"/>
    <x:xf numFmtId="0" fontId="0" fillId="8" borderId="5" xfId="0" applyNumberFormat="1" applyFont="1" applyFill="1" applyBorder="1"/>
    <x:xf numFmtId="0" fontId="0" fillId="8" borderId="6" xfId="0" applyNumberFormat="1" applyFont="1" applyFill="1" applyBorder="1"/>
    <x:xf numFmtId="0" fontId="0" fillId="8" borderId="4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vertical="center" wrapText="1"/>
    </x:xf>
    <x:xf numFmtId="0" fontId="0" fillId="8" borderId="5" xfId="0" applyNumberFormat="1" applyFont="1" applyFill="1" applyBorder="1" applyAlignment="1">
      <x:alignment vertical="center" wrapText="1"/>
    </x:xf>
    <x:xf numFmtId="0" fontId="0" fillId="8" borderId="6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/>
    <x:xf numFmtId="0" fontId="6" fillId="6" borderId="12" xfId="0" applyNumberFormat="1" applyFont="1" applyFill="1" applyBorder="1"/>
    <x:xf numFmtId="0" fontId="6" fillId="6" borderId="12" xfId="0" applyNumberFormat="1" applyFont="1" applyFill="1" applyBorder="1" applyAlignment="1">
      <x:alignment horizontal="center"/>
    </x:xf>
    <x:xf numFmtId="0" fontId="6" fillId="6" borderId="12" xfId="0" applyNumberFormat="1" applyFont="1" applyFill="1" applyBorder="1" applyAlignment="1">
      <x:alignment horizontal="center" vertical="center"/>
    </x:xf>
    <x:xf numFmtId="205" fontId="6" fillId="6" borderId="12" xfId="0" applyNumberFormat="1" applyFont="1" applyFill="1" applyBorder="1" applyAlignment="1">
      <x:alignment horizontal="center" vertical="center"/>
    </x:xf>
    <x:xf numFmtId="204" fontId="6" fillId="6" borderId="12" xfId="0" applyNumberFormat="1" applyFont="1" applyFill="1" applyBorder="1" applyAlignment="1">
      <x:alignment horizontal="center" vertical="center"/>
    </x:xf>
    <x:xf numFmtId="202" fontId="6" fillId="6" borderId="12" xfId="0" applyNumberFormat="1" applyFont="1" applyFill="1" applyBorder="1" applyAlignment="1">
      <x:alignment horizontal="center" vertical="center"/>
    </x:xf>
    <x:xf numFmtId="203" fontId="6" fillId="6" borderId="12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 applyAlignment="1">
      <x:alignment horizontal="center"/>
    </x:xf>
    <x:xf numFmtId="0" fontId="3" fillId="4" borderId="10" xfId="0" applyNumberFormat="1" applyFont="1" applyFill="1" applyBorder="1" applyAlignment="1">
      <x:alignment horizontal="center"/>
    </x:xf>
    <x:xf numFmtId="0" fontId="3" fillId="4" borderId="11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0" fillId="12" borderId="4" xfId="0" applyNumberFormat="1" applyFont="1" applyFill="1" applyBorder="1"/>
    <x:xf numFmtId="0" fontId="0" fillId="12" borderId="5" xfId="0" applyNumberFormat="1" applyFont="1" applyFill="1" applyBorder="1"/>
    <x:xf numFmtId="0" fontId="0" fillId="12" borderId="6" xfId="0" applyNumberFormat="1" applyFont="1" applyFill="1" applyBorder="1"/>
    <x:xf numFmtId="200" fontId="0" fillId="12" borderId="4" xfId="0" applyNumberFormat="1" applyFont="1" applyFill="1" applyBorder="1"/>
    <x:xf numFmtId="200" fontId="0" fillId="12" borderId="5" xfId="0" applyNumberFormat="1" applyFont="1" applyFill="1" applyBorder="1"/>
    <x:xf numFmtId="200" fontId="0" fillId="12" borderId="6" xfId="0" applyNumberFormat="1" applyFont="1" applyFill="1" applyBorder="1"/>
    <x:xf numFmtId="200" fontId="0" fillId="12" borderId="4" xfId="0" applyNumberFormat="1" applyFont="1" applyFill="1" applyBorder="1" applyAlignment="1">
      <x:alignment vertical="center"/>
    </x:xf>
    <x:xf numFmtId="200" fontId="0" fillId="12" borderId="5" xfId="0" applyNumberFormat="1" applyFont="1" applyFill="1" applyBorder="1" applyAlignment="1">
      <x:alignment vertical="center"/>
    </x:xf>
    <x:xf numFmtId="200" fontId="0" fillId="12" borderId="6" xfId="0" applyNumberFormat="1" applyFont="1" applyFill="1" applyBorder="1" applyAlignment="1">
      <x:alignment vertical="center"/>
    </x:xf>
    <x:xf numFmtId="200" fontId="0" fillId="12" borderId="4" xfId="0" applyNumberFormat="1" applyFont="1" applyFill="1" applyBorder="1" applyAlignment="1">
      <x:alignment horizontal="center" vertical="center"/>
    </x:xf>
    <x:xf numFmtId="200" fontId="0" fillId="12" borderId="5" xfId="0" applyNumberFormat="1" applyFont="1" applyFill="1" applyBorder="1" applyAlignment="1">
      <x:alignment horizontal="center" vertical="center"/>
    </x:xf>
    <x:xf numFmtId="200" fontId="0" fillId="12" borderId="6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7" xfId="0" applyNumberFormat="1" applyFont="1" applyFill="1" applyBorder="1"/>
    <x:xf numFmtId="0" fontId="4" fillId="13" borderId="5" xfId="0" applyNumberFormat="1" applyFont="1" applyFill="1" applyBorder="1"/>
    <x:xf numFmtId="0" fontId="4" fillId="13" borderId="8" xfId="0" applyNumberFormat="1" applyFont="1" applyFill="1" applyBorder="1"/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200" fontId="0" fillId="0" borderId="7" xfId="0" applyNumberFormat="1" applyFont="1" applyFill="1" applyBorder="1"/>
    <x:xf numFmtId="20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200" fontId="0" fillId="15" borderId="7" xfId="0" applyNumberFormat="1" applyFont="1" applyFill="1" applyBorder="1" applyAlignment="1">
      <x:alignment vertical="center" wrapText="1"/>
    </x:xf>
    <x:xf numFmtId="200" fontId="0" fillId="15" borderId="7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16" borderId="5" xfId="0" applyNumberFormat="1" applyFont="1" applyFill="1" applyBorder="1" applyAlignment="1">
      <x:alignment horizontal="center" vertical="center" wrapText="1"/>
    </x:xf>
    <x:xf numFmtId="0" fontId="8" fillId="16" borderId="5" xfId="0" applyNumberFormat="1" applyFont="1" applyFill="1" applyBorder="1" applyAlignment="1">
      <x:alignment horizontal="center" vertical="center" wrapText="1"/>
    </x:xf>
    <x:xf numFmtId="0" fontId="0" fillId="17" borderId="5" xfId="0" applyNumberFormat="1" applyFont="1" applyFill="1" applyBorder="1" applyAlignment="1">
      <x:alignment horizontal="center" vertical="center" wrapText="1"/>
    </x:xf>
    <x:xf numFmtId="0" fontId="9" fillId="17" borderId="5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12" xfId="0" applyNumberFormat="1" applyFont="1" applyFill="1" applyBorder="1"/>
    <x:xf numFmtId="0" fontId="3" fillId="18" borderId="12" xfId="0" applyNumberFormat="1" applyFont="1" applyFill="1" applyBorder="1" applyAlignment="1">
      <x:alignment wrapText="1"/>
    </x:xf>
    <x:xf numFmtId="0" fontId="3" fillId="18" borderId="12" xfId="0" applyNumberFormat="1" applyFont="1" applyFill="1" applyBorder="1" applyAlignment="1">
      <x:alignment horizontal="center" wrapText="1"/>
    </x:xf>
    <x:xf numFmtId="0" fontId="3" fillId="18" borderId="12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right"/>
    </x:xf>
    <x:xf numFmtId="0" fontId="0" fillId="19" borderId="0" xfId="0" applyNumberFormat="1" applyFont="1" applyFill="1" applyBorder="1"/>
    <x:xf numFmtId="0" fontId="10" fillId="19" borderId="0" xfId="0" applyNumberFormat="1" applyFont="1" applyFill="1" applyBorder="1"/>
    <x:xf numFmtId="0" fontId="10" fillId="19" borderId="0" xfId="0" applyNumberFormat="1" applyFont="1" applyFill="1" applyBorder="1" applyAlignment="1">
      <x:alignment horizontal="left"/>
    </x:xf>
    <x:xf numFmtId="0" fontId="10" fillId="19" borderId="0" xfId="0" applyNumberFormat="1" applyFont="1" applyFill="1" applyBorder="1" applyAlignment="1">
      <x:alignment horizontal="left" vertical="center"/>
    </x:xf>
    <x:xf numFmtId="0" fontId="0" fillId="20" borderId="0" xfId="0" applyNumberFormat="1" applyFont="1" applyFill="1" applyBorder="1"/>
    <x:xf numFmtId="0" fontId="7" fillId="20" borderId="0" xfId="0" applyNumberFormat="1" applyFont="1" applyFill="1" applyBorder="1"/>
    <x:xf numFmtId="0" fontId="7" fillId="20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horizontal="center"/>
    </x:xf>
    <x:xf numFmtId="0" fontId="3" fillId="18" borderId="0" xfId="0" applyNumberFormat="1" applyFont="1" applyFill="1" applyBorder="1" applyAlignment="1">
      <x:alignment horizontal="center" vertical="center"/>
    </x:xf>
    <x:xf numFmtId="0" fontId="3" fillId="18" borderId="12" xfId="0" applyNumberFormat="1" applyFont="1" applyFill="1" applyBorder="1" applyAlignment="1">
      <x:alignment horizontal="center" vertical="center"/>
    </x:xf>
    <x:xf numFmtId="0" fontId="0" fillId="21" borderId="12" xfId="0" applyNumberFormat="1" applyFont="1" applyFill="1" applyBorder="1"/>
    <x:xf numFmtId="201" fontId="0" fillId="0" borderId="12" xfId="0" applyNumberFormat="1" applyFont="1" applyFill="1" applyBorder="1"/>
    <x:xf numFmtId="201" fontId="0" fillId="0" borderId="12" xfId="0" applyNumberFormat="1" applyFont="1" applyFill="1" applyBorder="1" applyAlignment="1">
      <x:alignment horizontal="right"/>
    </x:xf>
    <x:xf numFmtId="0" fontId="0" fillId="22" borderId="0" xfId="0" applyNumberFormat="1" applyFont="1" applyFill="1" applyBorder="1"/>
    <x:xf numFmtId="0" fontId="4" fillId="22" borderId="0" xfId="0" applyNumberFormat="1" applyFont="1" applyFill="1" applyBorder="1"/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3" fillId="23" borderId="12" xfId="0" applyNumberFormat="1" applyFont="1" applyFill="1" applyBorder="1"/>
    <x:xf numFmtId="0" fontId="3" fillId="23" borderId="12" xfId="0" applyNumberFormat="1" applyFont="1" applyFill="1" applyBorder="1" applyAlignment="1">
      <x:alignment wrapText="1"/>
    </x:xf>
    <x:xf numFmtId="0" fontId="3" fillId="23" borderId="12" xfId="0" applyNumberFormat="1" applyFont="1" applyFill="1" applyBorder="1" applyAlignment="1">
      <x:alignment horizontal="center" wrapText="1"/>
    </x:xf>
    <x:xf numFmtId="0" fontId="3" fillId="23" borderId="12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 applyAlignment="1">
      <x:alignment horizontal="right"/>
    </x:xf>
    <x:xf numFmtId="0" fontId="0" fillId="24" borderId="4" xfId="0" applyNumberFormat="1" applyFont="1" applyFill="1" applyBorder="1" applyAlignment="1">
      <x:alignment vertical="center" wrapText="1"/>
    </x:xf>
    <x:xf numFmtId="0" fontId="11" fillId="24" borderId="4" xfId="0" applyNumberFormat="1" applyFont="1" applyFill="1" applyBorder="1" applyAlignment="1">
      <x:alignment vertical="center" wrapText="1"/>
    </x:xf>
    <x:xf numFmtId="201" fontId="0" fillId="24" borderId="0" xfId="0" applyNumberFormat="1" applyFont="1" applyFill="1" applyBorder="1" applyAlignment="1">
      <x:alignment horizontal="right"/>
    </x:xf>
    <x:xf numFmtId="201" fontId="11" fillId="24" borderId="0" xfId="0" applyNumberFormat="1" applyFont="1" applyFill="1" applyBorder="1" applyAlignment="1">
      <x:alignment horizontal="right"/>
    </x:xf>
    <x:xf numFmtId="204" fontId="11" fillId="24" borderId="0" xfId="0" applyNumberFormat="1" applyFont="1" applyFill="1" applyBorder="1" applyAlignment="1">
      <x:alignment horizontal="right"/>
    </x:xf>
    <x:xf numFmtId="0" fontId="0" fillId="24" borderId="5" xfId="0" applyNumberFormat="1" applyFont="1" applyFill="1" applyBorder="1" applyAlignment="1">
      <x:alignment vertical="center" wrapText="1"/>
    </x:xf>
    <x:xf numFmtId="0" fontId="11" fillId="24" borderId="5" xfId="0" applyNumberFormat="1" applyFont="1" applyFill="1" applyBorder="1" applyAlignment="1">
      <x:alignment vertical="center" wrapText="1"/>
    </x:xf>
    <x:xf numFmtId="201" fontId="0" fillId="25" borderId="0" xfId="0" applyNumberFormat="1" applyFont="1" applyFill="1" applyBorder="1" applyAlignment="1">
      <x:alignment horizontal="right"/>
    </x:xf>
    <x:xf numFmtId="204" fontId="0" fillId="25" borderId="0" xfId="0" applyNumberFormat="1" applyFont="1" applyFill="1" applyBorder="1" applyAlignment="1">
      <x:alignment horizontal="right"/>
    </x:xf>
    <x:xf numFmtId="0" fontId="0" fillId="26" borderId="0" xfId="0" applyNumberFormat="1" applyFont="1" applyFill="1" applyBorder="1"/>
    <x:xf numFmtId="0" fontId="10" fillId="26" borderId="0" xfId="0" applyNumberFormat="1" applyFont="1" applyFill="1" applyBorder="1"/>
    <x:xf numFmtId="0" fontId="10" fillId="26" borderId="0" xfId="0" applyNumberFormat="1" applyFont="1" applyFill="1" applyBorder="1" applyAlignment="1">
      <x:alignment vertical="center"/>
    </x:xf>
    <x:xf numFmtId="0" fontId="0" fillId="27" borderId="0" xfId="0" applyNumberFormat="1" applyFont="1" applyFill="1" applyBorder="1"/>
    <x:xf numFmtId="0" fontId="7" fillId="27" borderId="0" xfId="0" applyNumberFormat="1" applyFont="1" applyFill="1" applyBorder="1"/>
    <x:xf numFmtId="0" fontId="3" fillId="23" borderId="0" xfId="0" applyNumberFormat="1" applyFont="1" applyFill="1" applyBorder="1" applyAlignment="1">
      <x:alignment horizontal="center"/>
    </x:xf>
    <x:xf numFmtId="0" fontId="3" fillId="23" borderId="12" xfId="0" applyNumberFormat="1" applyFont="1" applyFill="1" applyBorder="1" applyAlignment="1">
      <x:alignment horizontal="center"/>
    </x:xf>
    <x:xf numFmtId="0" fontId="0" fillId="28" borderId="12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3" fillId="29" borderId="12" xfId="0" applyNumberFormat="1" applyFont="1" applyFill="1" applyBorder="1" applyAlignment="1">
      <x:alignment horizontal="center" vertical="center" wrapText="1"/>
    </x:xf>
    <x:xf numFmtId="201" fontId="0" fillId="16" borderId="0" xfId="0" applyNumberFormat="1" applyFont="1" applyFill="1" applyBorder="1" applyAlignment="1">
      <x:alignment horizontal="right"/>
    </x:xf>
    <x:xf numFmtId="204" fontId="0" fillId="16" borderId="0" xfId="0" applyNumberFormat="1" applyFont="1" applyFill="1" applyBorder="1" applyAlignment="1">
      <x:alignment horizontal="right"/>
    </x:xf>
    <x:xf numFmtId="0" fontId="11" fillId="30" borderId="4" xfId="0" applyNumberFormat="1" applyFont="1" applyFill="1" applyBorder="1" applyAlignment="1">
      <x:alignment vertical="center" wrapText="1"/>
    </x:xf>
    <x:xf numFmtId="204" fontId="11" fillId="30" borderId="0" xfId="0" applyNumberFormat="1" applyFont="1" applyFill="1" applyBorder="1" applyAlignment="1">
      <x:alignment horizontal="right"/>
    </x:xf>
    <x:xf numFmtId="201" fontId="11" fillId="30" borderId="0" xfId="0" applyNumberFormat="1" applyFont="1" applyFill="1" applyBorder="1" applyAlignment="1">
      <x:alignment horizontal="right"/>
    </x:xf>
    <x:xf numFmtId="0" fontId="11" fillId="30" borderId="5" xfId="0" applyNumberFormat="1" applyFont="1" applyFill="1" applyBorder="1" applyAlignment="1">
      <x:alignment vertical="center" wrapText="1"/>
    </x:xf>
    <x:xf numFmtId="201" fontId="0" fillId="31" borderId="0" xfId="0" applyNumberFormat="1" applyFont="1" applyFill="1" applyBorder="1" applyAlignment="1">
      <x:alignment horizontal="right"/>
    </x:xf>
    <x:xf numFmtId="204" fontId="0" fillId="31" borderId="0" xfId="0" applyNumberFormat="1" applyFont="1" applyFill="1" applyBorder="1" applyAlignment="1">
      <x:alignment horizontal="right"/>
    </x:xf>
    <x:xf numFmtId="0" fontId="10" fillId="32" borderId="0" xfId="0" applyNumberFormat="1" applyFont="1" applyFill="1" applyBorder="1" applyAlignment="1">
      <x:alignment vertical="center"/>
    </x:xf>
    <x:xf numFmtId="0" fontId="7" fillId="33" borderId="0" xfId="0" applyNumberFormat="1" applyFont="1" applyFill="1" applyBorder="1"/>
    <x:xf numFmtId="0" fontId="3" fillId="29" borderId="12" xfId="0" applyNumberFormat="1" applyFont="1" applyFill="1" applyBorder="1" applyAlignment="1">
      <x:alignment horizontal="center"/>
    </x:xf>
    <x:xf numFmtId="0" fontId="0" fillId="5" borderId="12" xfId="0" applyNumberFormat="1" applyFont="1" applyFill="1" applyBorder="1"/>
    <x:xf numFmtId="0" fontId="0" fillId="34" borderId="12" xfId="0" applyNumberFormat="1" applyFont="1" applyFill="1" applyBorder="1"/>
    <x:xf numFmtId="0" fontId="3" fillId="35" borderId="0" xfId="0" applyNumberFormat="1" applyFont="1" applyFill="1" applyBorder="1" applyAlignment="1">
      <x:alignment horizontal="center" vertical="center" wrapText="1"/>
    </x:xf>
    <x:xf numFmtId="0" fontId="3" fillId="35" borderId="7" xfId="0" applyNumberFormat="1" applyFont="1" applyFill="1" applyBorder="1" applyAlignment="1">
      <x:alignment horizontal="center" vertical="center" wrapText="1"/>
    </x:xf>
    <x:xf numFmtId="0" fontId="3" fillId="35" borderId="5" xfId="0" applyNumberFormat="1" applyFont="1" applyFill="1" applyBorder="1" applyAlignment="1">
      <x:alignment horizontal="center" vertical="center" wrapText="1"/>
    </x:xf>
    <x:xf numFmtId="0" fontId="3" fillId="35" borderId="8" xfId="0" applyNumberFormat="1" applyFont="1" applyFill="1" applyBorder="1" applyAlignment="1">
      <x:alignment horizontal="center" vertical="center" wrapText="1"/>
    </x:xf>
    <x:xf numFmtId="204" fontId="0" fillId="0" borderId="4" xfId="0" applyNumberFormat="1" applyFont="1" applyFill="1" applyBorder="1" applyAlignment="1">
      <x:alignment vertical="center" wrapText="1"/>
    </x:xf>
    <x:xf numFmtId="204" fontId="0" fillId="0" borderId="5" xfId="0" applyNumberFormat="1" applyFont="1" applyFill="1" applyBorder="1" applyAlignment="1">
      <x:alignment vertical="center" wrapText="1"/>
    </x:xf>
    <x:xf numFmtId="204" fontId="0" fillId="0" borderId="4" xfId="0" applyNumberFormat="1" applyFont="1" applyFill="1" applyBorder="1" applyAlignment="1">
      <x:alignment horizontal="right" vertical="center" wrapText="1"/>
    </x:xf>
    <x:xf numFmtId="204" fontId="0" fillId="0" borderId="5" xfId="0" applyNumberFormat="1" applyFont="1" applyFill="1" applyBorder="1" applyAlignment="1">
      <x:alignment horizontal="right" vertical="center" wrapText="1"/>
    </x:xf>
    <x:xf numFmtId="0" fontId="11" fillId="36" borderId="4" xfId="0" applyNumberFormat="1" applyFont="1" applyFill="1" applyBorder="1" applyAlignment="1">
      <x:alignment vertical="center" wrapText="1"/>
    </x:xf>
    <x:xf numFmtId="204" fontId="0" fillId="36" borderId="4" xfId="0" applyNumberFormat="1" applyFont="1" applyFill="1" applyBorder="1" applyAlignment="1">
      <x:alignment horizontal="right" vertical="center" wrapText="1"/>
    </x:xf>
    <x:xf numFmtId="204" fontId="11" fillId="36" borderId="4" xfId="0" applyNumberFormat="1" applyFont="1" applyFill="1" applyBorder="1" applyAlignment="1">
      <x:alignment horizontal="right" vertical="center" wrapText="1"/>
    </x:xf>
    <x:xf numFmtId="0" fontId="11" fillId="36" borderId="5" xfId="0" applyNumberFormat="1" applyFont="1" applyFill="1" applyBorder="1" applyAlignment="1">
      <x:alignment vertical="center" wrapText="1"/>
    </x:xf>
    <x:xf numFmtId="204" fontId="0" fillId="36" borderId="5" xfId="0" applyNumberFormat="1" applyFont="1" applyFill="1" applyBorder="1" applyAlignment="1">
      <x:alignment horizontal="right" vertical="center" wrapText="1"/>
    </x:xf>
    <x:xf numFmtId="204" fontId="11" fillId="36" borderId="5" xfId="0" applyNumberFormat="1" applyFont="1" applyFill="1" applyBorder="1" applyAlignment="1">
      <x:alignment horizontal="right" vertical="center" wrapText="1"/>
    </x:xf>
    <x:xf numFmtId="0" fontId="0" fillId="36" borderId="5" xfId="0" applyNumberFormat="1" applyFont="1" applyFill="1" applyBorder="1" applyAlignment="1">
      <x:alignment vertical="center" wrapText="1"/>
    </x:xf>
    <x:xf numFmtId="204" fontId="0" fillId="37" borderId="5" xfId="0" applyNumberFormat="1" applyFont="1" applyFill="1" applyBorder="1" applyAlignment="1">
      <x:alignment horizontal="right" vertical="center" wrapText="1"/>
    </x:xf>
    <x:xf numFmtId="204" fontId="0" fillId="38" borderId="5" xfId="0" applyNumberFormat="1" applyFont="1" applyFill="1" applyBorder="1" applyAlignment="1">
      <x:alignment horizontal="right" vertical="center" wrapText="1"/>
    </x:xf>
    <x:xf numFmtId="0" fontId="3" fillId="4" borderId="12" xfId="0" applyNumberFormat="1" applyFont="1" applyFill="1" applyBorder="1" applyAlignment="1">
      <x:alignment horizontal="center" vertical="center"/>
    </x:xf>
    <x:xf numFmtId="0" fontId="10" fillId="39" borderId="0" xfId="0" applyNumberFormat="1" applyFont="1" applyFill="1" applyBorder="1" applyAlignment="1">
      <x:alignment horizontal="left" vertical="center"/>
    </x:xf>
    <x:xf numFmtId="0" fontId="0" fillId="39" borderId="0" xfId="0" applyNumberFormat="1" applyFont="1" applyFill="1" applyBorder="1"/>
    <x:xf numFmtId="0" fontId="10" fillId="39" borderId="0" xfId="0" applyNumberFormat="1" applyFont="1" applyFill="1" applyBorder="1"/>
    <x:xf numFmtId="0" fontId="10" fillId="39" borderId="0" xfId="0" applyNumberFormat="1" applyFont="1" applyFill="1" applyBorder="1" applyAlignment="1">
      <x:alignment vertical="center"/>
    </x:xf>
    <x:xf numFmtId="0" fontId="7" fillId="40" borderId="0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7" fillId="40" borderId="0" xfId="0" applyNumberFormat="1" applyFont="1" applyFill="1" applyBorder="1"/>
    <x:xf numFmtId="0" fontId="3" fillId="35" borderId="12" xfId="0" applyNumberFormat="1" applyFont="1" applyFill="1" applyBorder="1" applyAlignment="1">
      <x:alignment horizontal="center" vertical="center"/>
    </x:xf>
    <x:xf numFmtId="0" fontId="0" fillId="35" borderId="0" xfId="0" applyNumberFormat="1" applyFont="1" applyFill="1" applyBorder="1"/>
    <x:xf numFmtId="0" fontId="3" fillId="35" borderId="0" xfId="0" applyNumberFormat="1" applyFont="1" applyFill="1" applyBorder="1"/>
    <x:xf numFmtId="0" fontId="3" fillId="35" borderId="0" xfId="0" applyNumberFormat="1" applyFont="1" applyFill="1" applyBorder="1" applyAlignment="1">
      <x:alignment horizontal="center"/>
    </x:xf>
    <x:xf numFmtId="0" fontId="3" fillId="35" borderId="0" xfId="0" applyNumberFormat="1" applyFont="1" applyFill="1" applyBorder="1" applyAlignment="1">
      <x:alignment horizontal="center" vertical="center"/>
    </x:xf>
    <x:xf numFmtId="0" fontId="0" fillId="38" borderId="12" xfId="0" applyNumberFormat="1" applyFont="1" applyFill="1" applyBorder="1"/>
    <x:xf numFmtId="0" fontId="3" fillId="41" borderId="7" xfId="0" applyNumberFormat="1" applyFont="1" applyFill="1" applyBorder="1" applyAlignment="1">
      <x:alignment horizontal="center" vertical="center" wrapText="1"/>
    </x:xf>
    <x:xf numFmtId="0" fontId="3" fillId="41" borderId="5" xfId="0" applyNumberFormat="1" applyFont="1" applyFill="1" applyBorder="1" applyAlignment="1">
      <x:alignment horizontal="center" vertical="center" wrapText="1"/>
    </x:xf>
    <x:xf numFmtId="0" fontId="3" fillId="41" borderId="8" xfId="0" applyNumberFormat="1" applyFont="1" applyFill="1" applyBorder="1" applyAlignment="1">
      <x:alignment horizontal="center" vertical="center" wrapText="1"/>
    </x:xf>
    <x:xf numFmtId="204" fontId="11" fillId="24" borderId="4" xfId="0" applyNumberFormat="1" applyFont="1" applyFill="1" applyBorder="1" applyAlignment="1">
      <x:alignment horizontal="right" vertical="center" wrapText="1"/>
    </x:xf>
    <x:xf numFmtId="204" fontId="0" fillId="5" borderId="5" xfId="0" applyNumberFormat="1" applyFont="1" applyFill="1" applyBorder="1" applyAlignment="1">
      <x:alignment horizontal="right" vertical="center" wrapText="1"/>
    </x:xf>
    <x:xf numFmtId="204" fontId="11" fillId="24" borderId="5" xfId="0" applyNumberFormat="1" applyFont="1" applyFill="1" applyBorder="1" applyAlignment="1">
      <x:alignment horizontal="right" vertical="center" wrapText="1"/>
    </x:xf>
    <x:xf numFmtId="204" fontId="0" fillId="16" borderId="5" xfId="0" applyNumberFormat="1" applyFont="1" applyFill="1" applyBorder="1" applyAlignment="1">
      <x:alignment horizontal="right" vertical="center" wrapText="1"/>
    </x:xf>
    <x:xf numFmtId="0" fontId="11" fillId="42" borderId="4" xfId="0" applyNumberFormat="1" applyFont="1" applyFill="1" applyBorder="1" applyAlignment="1">
      <x:alignment vertical="center" wrapText="1"/>
    </x:xf>
    <x:xf numFmtId="204" fontId="11" fillId="42" borderId="4" xfId="0" applyNumberFormat="1" applyFont="1" applyFill="1" applyBorder="1" applyAlignment="1">
      <x:alignment horizontal="right" vertical="center" wrapText="1"/>
    </x:xf>
    <x:xf numFmtId="0" fontId="11" fillId="42" borderId="5" xfId="0" applyNumberFormat="1" applyFont="1" applyFill="1" applyBorder="1" applyAlignment="1">
      <x:alignment vertical="center" wrapText="1"/>
    </x:xf>
    <x:xf numFmtId="204" fontId="11" fillId="42" borderId="5" xfId="0" applyNumberFormat="1" applyFont="1" applyFill="1" applyBorder="1" applyAlignment="1">
      <x:alignment horizontal="right" vertical="center" wrapText="1"/>
    </x:xf>
    <x:xf numFmtId="204" fontId="0" fillId="43" borderId="5" xfId="0" applyNumberFormat="1" applyFont="1" applyFill="1" applyBorder="1" applyAlignment="1">
      <x:alignment horizontal="right" vertical="center" wrapText="1"/>
    </x:xf>
    <x:xf numFmtId="204" fontId="0" fillId="44" borderId="5" xfId="0" applyNumberFormat="1" applyFont="1" applyFill="1" applyBorder="1" applyAlignment="1">
      <x:alignment horizontal="right" vertical="center" wrapText="1"/>
    </x:xf>
    <x:xf numFmtId="0" fontId="10" fillId="45" borderId="0" xfId="0" applyNumberFormat="1" applyFont="1" applyFill="1" applyBorder="1" applyAlignment="1">
      <x:alignment horizontal="left" vertical="center"/>
    </x:xf>
    <x:xf numFmtId="0" fontId="10" fillId="45" borderId="0" xfId="0" applyNumberFormat="1" applyFont="1" applyFill="1" applyBorder="1" applyAlignment="1">
      <x:alignment vertical="center"/>
    </x:xf>
    <x:xf numFmtId="0" fontId="7" fillId="46" borderId="0" xfId="0" applyNumberFormat="1" applyFont="1" applyFill="1" applyBorder="1" applyAlignment="1">
      <x:alignment wrapText="1"/>
    </x:xf>
    <x:xf numFmtId="0" fontId="3" fillId="41" borderId="12" xfId="0" applyNumberFormat="1" applyFont="1" applyFill="1" applyBorder="1" applyAlignment="1">
      <x:alignment horizontal="center" vertical="center"/>
    </x:xf>
    <x:xf numFmtId="0" fontId="0" fillId="44" borderId="12" xfId="0" applyNumberFormat="1" applyFont="1" applyFill="1" applyBorder="1"/>
    <x:xf numFmtId="0" fontId="3" fillId="47" borderId="7" xfId="0" applyNumberFormat="1" applyFont="1" applyFill="1" applyBorder="1" applyAlignment="1">
      <x:alignment horizontal="center" vertical="center" wrapText="1"/>
    </x:xf>
    <x:xf numFmtId="0" fontId="3" fillId="47" borderId="5" xfId="0" applyNumberFormat="1" applyFont="1" applyFill="1" applyBorder="1" applyAlignment="1">
      <x:alignment horizontal="center" vertical="center" wrapText="1"/>
    </x:xf>
    <x:xf numFmtId="0" fontId="3" fillId="47" borderId="8" xfId="0" applyNumberFormat="1" applyFont="1" applyFill="1" applyBorder="1" applyAlignment="1">
      <x:alignment horizontal="center" vertical="center" wrapText="1"/>
    </x:xf>
    <x:xf numFmtId="0" fontId="11" fillId="48" borderId="4" xfId="0" applyNumberFormat="1" applyFont="1" applyFill="1" applyBorder="1" applyAlignment="1">
      <x:alignment vertical="center" wrapText="1"/>
    </x:xf>
    <x:xf numFmtId="204" fontId="11" fillId="48" borderId="4" xfId="0" applyNumberFormat="1" applyFont="1" applyFill="1" applyBorder="1" applyAlignment="1">
      <x:alignment horizontal="right" vertical="center" wrapText="1"/>
    </x:xf>
    <x:xf numFmtId="0" fontId="11" fillId="48" borderId="5" xfId="0" applyNumberFormat="1" applyFont="1" applyFill="1" applyBorder="1" applyAlignment="1">
      <x:alignment vertical="center" wrapText="1"/>
    </x:xf>
    <x:xf numFmtId="204" fontId="11" fillId="48" borderId="5" xfId="0" applyNumberFormat="1" applyFont="1" applyFill="1" applyBorder="1" applyAlignment="1">
      <x:alignment horizontal="right" vertical="center" wrapText="1"/>
    </x:xf>
    <x:xf numFmtId="204" fontId="0" fillId="49" borderId="5" xfId="0" applyNumberFormat="1" applyFont="1" applyFill="1" applyBorder="1" applyAlignment="1">
      <x:alignment horizontal="right" vertical="center" wrapText="1"/>
    </x:xf>
    <x:xf numFmtId="204" fontId="0" fillId="50" borderId="5" xfId="0" applyNumberFormat="1" applyFont="1" applyFill="1" applyBorder="1" applyAlignment="1">
      <x:alignment horizontal="right" vertical="center" wrapText="1"/>
    </x:xf>
    <x:xf numFmtId="0" fontId="10" fillId="51" borderId="0" xfId="0" applyNumberFormat="1" applyFont="1" applyFill="1" applyBorder="1" applyAlignment="1">
      <x:alignment horizontal="left" vertical="center"/>
    </x:xf>
    <x:xf numFmtId="0" fontId="10" fillId="51" borderId="0" xfId="0" applyNumberFormat="1" applyFont="1" applyFill="1" applyBorder="1" applyAlignment="1">
      <x:alignment vertical="center"/>
    </x:xf>
    <x:xf numFmtId="0" fontId="7" fillId="52" borderId="0" xfId="0" applyNumberFormat="1" applyFont="1" applyFill="1" applyBorder="1" applyAlignment="1">
      <x:alignment wrapText="1"/>
    </x:xf>
    <x:xf numFmtId="0" fontId="3" fillId="47" borderId="12" xfId="0" applyNumberFormat="1" applyFont="1" applyFill="1" applyBorder="1" applyAlignment="1">
      <x:alignment horizontal="center" vertical="center"/>
    </x:xf>
    <x:xf numFmtId="0" fontId="0" fillId="50" borderId="12" xfId="0" applyNumberFormat="1" applyFont="1" applyFill="1" applyBorder="1"/>
    <x:xf numFmtId="0" fontId="0" fillId="53" borderId="5" xfId="0" applyNumberFormat="1" applyFont="1" applyFill="1" applyBorder="1" applyAlignment="1">
      <x:alignment vertical="center" wrapText="1"/>
    </x:xf>
    <x:xf numFmtId="0" fontId="11" fillId="53" borderId="5" xfId="0" applyNumberFormat="1" applyFont="1" applyFill="1" applyBorder="1" applyAlignment="1">
      <x:alignment vertical="center" wrapText="1"/>
    </x:xf>
    <x:xf numFmtId="204" fontId="11" fillId="53" borderId="5" xfId="0" applyNumberFormat="1" applyFont="1" applyFill="1" applyBorder="1" applyAlignment="1">
      <x:alignment vertical="center" wrapText="1"/>
    </x:xf>
    <x:xf numFmtId="204" fontId="11" fillId="53" borderId="5" xfId="0" applyNumberFormat="1" applyFont="1" applyFill="1" applyBorder="1" applyAlignment="1">
      <x:alignment horizontal="right" vertical="center" wrapText="1"/>
    </x:xf>
    <x:xf numFmtId="0" fontId="0" fillId="54" borderId="5" xfId="0" applyNumberFormat="1" applyFont="1" applyFill="1" applyBorder="1" applyAlignment="1">
      <x:alignment vertical="center" wrapText="1"/>
    </x:xf>
    <x:xf numFmtId="0" fontId="11" fillId="54" borderId="5" xfId="0" applyNumberFormat="1" applyFont="1" applyFill="1" applyBorder="1" applyAlignment="1">
      <x:alignment vertical="center" wrapText="1"/>
    </x:xf>
    <x:xf numFmtId="204" fontId="11" fillId="54" borderId="5" xfId="0" applyNumberFormat="1" applyFont="1" applyFill="1" applyBorder="1" applyAlignment="1">
      <x:alignment vertical="center" wrapText="1"/>
    </x:xf>
    <x:xf numFmtId="204" fontId="11" fillId="54" borderId="5" xfId="0" applyNumberFormat="1" applyFont="1" applyFill="1" applyBorder="1" applyAlignment="1">
      <x:alignment horizontal="right" vertical="center" wrapText="1"/>
    </x:xf>
    <x:xf numFmtId="0" fontId="11" fillId="55" borderId="5" xfId="0" applyNumberFormat="1" applyFont="1" applyFill="1" applyBorder="1" applyAlignment="1">
      <x:alignment vertical="center" wrapText="1"/>
    </x:xf>
    <x:xf numFmtId="204" fontId="11" fillId="55" borderId="5" xfId="0" applyNumberFormat="1" applyFont="1" applyFill="1" applyBorder="1" applyAlignment="1">
      <x:alignment horizontal="right" vertical="center" wrapText="1"/>
    </x:xf>
    <x:xf numFmtId="0" fontId="3" fillId="56" borderId="5" xfId="0" applyNumberFormat="1" applyFont="1" applyFill="1" applyBorder="1" applyAlignment="1">
      <x:alignment horizontal="center" vertical="center" wrapText="1"/>
    </x:xf>
    <x:xf numFmtId="0" fontId="3" fillId="56" borderId="8" xfId="0" applyNumberFormat="1" applyFont="1" applyFill="1" applyBorder="1" applyAlignment="1">
      <x:alignment horizontal="center" vertical="center" wrapText="1"/>
    </x:xf>
    <x:xf numFmtId="0" fontId="3" fillId="56" borderId="7" xfId="0" applyNumberFormat="1" applyFont="1" applyFill="1" applyBorder="1" applyAlignment="1">
      <x:alignment horizontal="center" vertical="center" wrapText="1"/>
    </x:xf>
    <x:xf numFmtId="0" fontId="11" fillId="57" borderId="4" xfId="0" applyNumberFormat="1" applyFont="1" applyFill="1" applyBorder="1" applyAlignment="1">
      <x:alignment vertical="center" wrapText="1"/>
    </x:xf>
    <x:xf numFmtId="204" fontId="0" fillId="57" borderId="4" xfId="0" applyNumberFormat="1" applyFont="1" applyFill="1" applyBorder="1" applyAlignment="1">
      <x:alignment horizontal="right" vertical="center" wrapText="1"/>
    </x:xf>
    <x:xf numFmtId="204" fontId="11" fillId="57" borderId="4" xfId="0" applyNumberFormat="1" applyFont="1" applyFill="1" applyBorder="1" applyAlignment="1">
      <x:alignment horizontal="right" vertical="center" wrapText="1"/>
    </x:xf>
    <x:xf numFmtId="0" fontId="11" fillId="57" borderId="5" xfId="0" applyNumberFormat="1" applyFont="1" applyFill="1" applyBorder="1" applyAlignment="1">
      <x:alignment vertical="center" wrapText="1"/>
    </x:xf>
    <x:xf numFmtId="204" fontId="0" fillId="57" borderId="5" xfId="0" applyNumberFormat="1" applyFont="1" applyFill="1" applyBorder="1" applyAlignment="1">
      <x:alignment horizontal="right" vertical="center" wrapText="1"/>
    </x:xf>
    <x:xf numFmtId="204" fontId="11" fillId="57" borderId="5" xfId="0" applyNumberFormat="1" applyFont="1" applyFill="1" applyBorder="1" applyAlignment="1">
      <x:alignment horizontal="right" vertical="center" wrapText="1"/>
    </x:xf>
    <x:xf numFmtId="204" fontId="0" fillId="58" borderId="5" xfId="0" applyNumberFormat="1" applyFont="1" applyFill="1" applyBorder="1" applyAlignment="1">
      <x:alignment horizontal="right" vertical="center" wrapText="1"/>
    </x:xf>
    <x:xf numFmtId="204" fontId="0" fillId="59" borderId="5" xfId="0" applyNumberFormat="1" applyFont="1" applyFill="1" applyBorder="1" applyAlignment="1">
      <x:alignment horizontal="right" vertical="center" wrapText="1"/>
    </x:xf>
    <x:xf numFmtId="0" fontId="0" fillId="60" borderId="5" xfId="0" applyNumberFormat="1" applyFont="1" applyFill="1" applyBorder="1" applyAlignment="1">
      <x:alignment vertical="center" wrapText="1"/>
    </x:xf>
    <x:xf numFmtId="0" fontId="11" fillId="60" borderId="5" xfId="0" applyNumberFormat="1" applyFont="1" applyFill="1" applyBorder="1" applyAlignment="1">
      <x:alignment vertical="center" wrapText="1"/>
    </x:xf>
    <x:xf numFmtId="204" fontId="0" fillId="60" borderId="5" xfId="0" applyNumberFormat="1" applyFont="1" applyFill="1" applyBorder="1" applyAlignment="1">
      <x:alignment horizontal="right" vertical="center" wrapText="1"/>
    </x:xf>
    <x:xf numFmtId="204" fontId="11" fillId="60" borderId="5" xfId="0" applyNumberFormat="1" applyFont="1" applyFill="1" applyBorder="1" applyAlignment="1">
      <x:alignment horizontal="right" vertical="center" wrapText="1"/>
    </x:xf>
    <x:xf numFmtId="0" fontId="11" fillId="61" borderId="5" xfId="0" applyNumberFormat="1" applyFont="1" applyFill="1" applyBorder="1" applyAlignment="1">
      <x:alignment vertical="center" wrapText="1"/>
    </x:xf>
    <x:xf numFmtId="204" fontId="11" fillId="61" borderId="5" xfId="0" applyNumberFormat="1" applyFont="1" applyFill="1" applyBorder="1" applyAlignment="1">
      <x:alignment horizontal="right" vertical="center" wrapText="1"/>
    </x:xf>
    <x:xf numFmtId="0" fontId="11" fillId="62" borderId="5" xfId="0" applyNumberFormat="1" applyFont="1" applyFill="1" applyBorder="1" applyAlignment="1">
      <x:alignment vertical="center" wrapText="1"/>
    </x:xf>
    <x:xf numFmtId="204" fontId="11" fillId="62" borderId="5" xfId="0" applyNumberFormat="1" applyFont="1" applyFill="1" applyBorder="1" applyAlignment="1">
      <x:alignment horizontal="right" vertical="center" wrapText="1"/>
    </x:xf>
    <x:xf numFmtId="0" fontId="11" fillId="63" borderId="5" xfId="0" applyNumberFormat="1" applyFont="1" applyFill="1" applyBorder="1" applyAlignment="1">
      <x:alignment vertical="center" wrapText="1"/>
    </x:xf>
    <x:xf numFmtId="204" fontId="11" fillId="63" borderId="5" xfId="0" applyNumberFormat="1" applyFont="1" applyFill="1" applyBorder="1" applyAlignment="1">
      <x:alignment horizontal="right" vertical="center" wrapText="1"/>
    </x:xf>
    <x:xf numFmtId="0" fontId="11" fillId="64" borderId="5" xfId="0" applyNumberFormat="1" applyFont="1" applyFill="1" applyBorder="1" applyAlignment="1">
      <x:alignment vertical="center" wrapText="1"/>
    </x:xf>
    <x:xf numFmtId="204" fontId="11" fillId="64" borderId="5" xfId="0" applyNumberFormat="1" applyFont="1" applyFill="1" applyBorder="1" applyAlignment="1">
      <x:alignment horizontal="right" vertical="center" wrapText="1"/>
    </x:xf>
    <x:xf numFmtId="204" fontId="11" fillId="24" borderId="4" xfId="0" applyNumberFormat="1" applyFont="1" applyFill="1" applyBorder="1" applyAlignment="1">
      <x:alignment horizontal="left" vertical="center" wrapText="1"/>
    </x:xf>
    <x:xf numFmtId="204" fontId="0" fillId="5" borderId="5" xfId="0" applyNumberFormat="1" applyFont="1" applyFill="1" applyBorder="1" applyAlignment="1">
      <x:alignment horizontal="left" vertical="center" wrapText="1"/>
    </x:xf>
    <x:xf numFmtId="204" fontId="11" fillId="24" borderId="5" xfId="0" applyNumberFormat="1" applyFont="1" applyFill="1" applyBorder="1" applyAlignment="1">
      <x:alignment horizontal="left" vertical="center" wrapText="1"/>
    </x:xf>
    <x:xf numFmtId="204" fontId="0" fillId="16" borderId="5" xfId="0" applyNumberFormat="1" applyFont="1" applyFill="1" applyBorder="1" applyAlignment="1">
      <x:alignment horizontal="left" vertical="center" wrapText="1"/>
    </x:xf>
    <x:xf numFmtId="0" fontId="0" fillId="0" borderId="5" xfId="0" applyNumberFormat="1" applyFont="1" applyFill="1" applyBorder="1" applyAlignment="1">
      <x:alignment horizontal="left" vertical="center" wrapText="1"/>
    </x:xf>
    <x:xf numFmtId="0" fontId="0" fillId="65" borderId="5" xfId="0" applyNumberFormat="1" applyFont="1" applyFill="1" applyBorder="1" applyAlignment="1">
      <x:alignment vertical="center" wrapText="1"/>
    </x:xf>
    <x:xf numFmtId="0" fontId="11" fillId="65" borderId="5" xfId="0" applyNumberFormat="1" applyFont="1" applyFill="1" applyBorder="1" applyAlignment="1">
      <x:alignment vertical="center" wrapText="1"/>
    </x:xf>
    <x:xf numFmtId="204" fontId="0" fillId="65" borderId="5" xfId="0" applyNumberFormat="1" applyFont="1" applyFill="1" applyBorder="1" applyAlignment="1">
      <x:alignment horizontal="right" vertical="center" wrapText="1"/>
    </x:xf>
    <x:xf numFmtId="204" fontId="11" fillId="65" borderId="5" xfId="0" applyNumberFormat="1" applyFont="1" applyFill="1" applyBorder="1" applyAlignment="1">
      <x:alignment horizontal="right" vertical="center" wrapText="1"/>
    </x:xf>
    <x:xf numFmtId="0" fontId="11" fillId="66" borderId="5" xfId="0" applyNumberFormat="1" applyFont="1" applyFill="1" applyBorder="1" applyAlignment="1">
      <x:alignment vertical="center" wrapText="1"/>
    </x:xf>
    <x:xf numFmtId="204" fontId="11" fillId="66" borderId="5" xfId="0" applyNumberFormat="1" applyFont="1" applyFill="1" applyBorder="1" applyAlignment="1">
      <x:alignment horizontal="right" vertical="center" wrapText="1"/>
    </x:xf>
    <x:xf numFmtId="0" fontId="0" fillId="67" borderId="5" xfId="0" applyNumberFormat="1" applyFont="1" applyFill="1" applyBorder="1" applyAlignment="1">
      <x:alignment vertical="center" wrapText="1"/>
    </x:xf>
    <x:xf numFmtId="0" fontId="11" fillId="67" borderId="5" xfId="0" applyNumberFormat="1" applyFont="1" applyFill="1" applyBorder="1" applyAlignment="1">
      <x:alignment vertical="center" wrapText="1"/>
    </x:xf>
    <x:xf numFmtId="204" fontId="0" fillId="67" borderId="5" xfId="0" applyNumberFormat="1" applyFont="1" applyFill="1" applyBorder="1" applyAlignment="1">
      <x:alignment horizontal="right" vertical="center" wrapText="1"/>
    </x:xf>
    <x:xf numFmtId="204" fontId="11" fillId="67" borderId="5" xfId="0" applyNumberFormat="1" applyFont="1" applyFill="1" applyBorder="1" applyAlignment="1">
      <x:alignment horizontal="right" vertical="center" wrapText="1"/>
    </x:xf>
    <x:xf numFmtId="0" fontId="11" fillId="68" borderId="5" xfId="0" applyNumberFormat="1" applyFont="1" applyFill="1" applyBorder="1" applyAlignment="1">
      <x:alignment vertical="center" wrapText="1"/>
    </x:xf>
    <x:xf numFmtId="204" fontId="11" fillId="68" borderId="5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6"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2E7D5B"/>
      </x:font>
      <x:fill>
        <x:patternFill>
          <x:bgColor rgb="FFE5F3EB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2E7D5B"/>
      </x:font>
      <x:fill>
        <x:patternFill>
          <x:bgColor rgb="FFE5F3EB"/>
        </x:patternFill>
      </x:fill>
    </x:dxf>
    <x:dxf>
      <x:font>
        <x:b/>
        <x:color rgb="FF2E7D5B"/>
      </x:font>
      <x:fill>
        <x:patternFill>
          <x:bgColor rgb="FFE5F3EB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cc4d87af4e4677" /><Relationship Type="http://schemas.openxmlformats.org/officeDocument/2006/relationships/theme" Target="/xl/theme/theme1.xml" Id="Rda6fddb5cc2542a5" /><Relationship Type="http://schemas.openxmlformats.org/officeDocument/2006/relationships/sharedStrings" Target="/xl/sharedStrings.xml" Id="R0405cf7375ea4a61" /><Relationship Type="http://schemas.openxmlformats.org/officeDocument/2006/relationships/worksheet" Target="/xl/worksheets/sheet1.xml" Id="Rc4dc1c813b2d43bb" /><Relationship Type="http://schemas.openxmlformats.org/officeDocument/2006/relationships/worksheet" Target="/xl/worksheets/sheet2.xml" Id="Rf4ee5b6468c5432e" /><Relationship Type="http://schemas.openxmlformats.org/officeDocument/2006/relationships/worksheet" Target="/xl/worksheets/sheet3.xml" Id="R33bfcab0c118414e" /><Relationship Type="http://schemas.openxmlformats.org/officeDocument/2006/relationships/worksheet" Target="/xl/worksheets/sheet4.xml" Id="Ra11e2fdde8944dea" /><Relationship Type="http://schemas.openxmlformats.org/officeDocument/2006/relationships/worksheet" Target="/xl/worksheets/sheet5.xml" Id="Rd408379890364fb8" /><Relationship Type="http://schemas.openxmlformats.org/officeDocument/2006/relationships/worksheet" Target="/xl/worksheets/sheet6.xml" Id="Rb814e3202033491d" /><Relationship Type="http://schemas.openxmlformats.org/officeDocument/2006/relationships/worksheet" Target="/xl/worksheets/sheet7.xml" Id="R4e864f80e6254551" /><Relationship Type="http://schemas.openxmlformats.org/officeDocument/2006/relationships/worksheet" Target="/xl/worksheets/sheet8.xml" Id="R5b3e0e320260469b" /><Relationship Type="http://schemas.openxmlformats.org/officeDocument/2006/relationships/worksheet" Target="/xl/worksheets/sheet9.xml" Id="Re17a67fc3e5b46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3" t="str">
        <x:v>30 天重建總覽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先保住資本，再談績效｜所有數字由各紀錄表自動彙總</x:v>
      </x:c>
      <x:c r="B2" s="6"/>
      <x:c r="C2" s="6"/>
      <x:c r="D2" s="6"/>
      <x:c r="E2" s="6"/>
      <x:c r="F2" s="6"/>
      <x:c r="G2" s="6"/>
      <x:c r="H2" s="6"/>
    </x:row>
    <x:row r="4">
      <x:c r="A4" s="83" t="str">
        <x:v>核心指標</x:v>
      </x:c>
      <x:c r="B4" s="84"/>
      <x:c r="C4" s="84"/>
      <x:c r="D4" s="84"/>
      <x:c r="E4" s="84"/>
      <x:c r="F4" s="84"/>
      <x:c r="G4" s="84"/>
      <x:c r="H4" s="85"/>
    </x:row>
    <x:row r="5" ht="34" customHeight="1">
      <x:c r="A5" s="161" t="str">
        <x:v>目前零下注連續天數</x:v>
      </x:c>
      <x:c r="B5"/>
      <x:c r="C5" s="161" t="str">
        <x:v>每日完成率</x:v>
      </x:c>
      <x:c r="D5"/>
      <x:c r="E5" s="161" t="str">
        <x:v>重訓次數</x:v>
      </x:c>
      <x:c r="F5"/>
      <x:c r="G5" s="161" t="str">
        <x:v>平均衝動</x:v>
      </x:c>
      <x:c r="H5"/>
    </x:row>
    <x:row r="6" ht="34" customHeight="1">
      <x:c r="A6" s="165" t="n">
        <x:f>IF(COUNTA('每日檢核'!$B$5:$B$34)=0,0,INDEX('每日檢核'!$J$5:$J$34,COUNTA('每日檢核'!$B$5:$B$34)))</x:f>
        <x:v>5</x:v>
      </x:c>
      <x:c r="B6"/>
      <x:c r="C6" s="166" t="n">
        <x:f>COUNTIF('每日檢核'!$B$5:$B$34,"是")/30</x:f>
        <x:v>0.16666666666666666</x:v>
      </x:c>
      <x:c r="D6"/>
      <x:c r="E6" s="165" t="n">
        <x:f>COUNTIF('每日檢核'!$G$5:$G$34,"是")</x:f>
        <x:v>2</x:v>
      </x:c>
      <x:c r="F6"/>
      <x:c r="G6" s="167" t="n">
        <x:f>IFERROR(AVERAGE('每日檢核'!$D$5:$D$34),0)</x:f>
        <x:v>0.2</x:v>
      </x:c>
      <x:c r="H6"/>
    </x:row>
    <x:row r="7" ht="34" customHeight="1">
      <x:c r="A7" s="161" t="str">
        <x:v>總訓練組數</x:v>
      </x:c>
      <x:c r="B7"/>
      <x:c r="C7" s="161" t="str">
        <x:v>總訓練量</x:v>
      </x:c>
      <x:c r="D7"/>
      <x:c r="E7" s="161" t="str">
        <x:v>目前現金</x:v>
      </x:c>
      <x:c r="F7"/>
      <x:c r="G7" s="161" t="str">
        <x:v>緩衝達成率</x:v>
      </x:c>
      <x:c r="H7"/>
    </x:row>
    <x:row r="8" ht="34" customHeight="1">
      <x:c r="A8" s="165" t="n">
        <x:f>COUNTA('重訓紀錄'!$C$5:$C$304)</x:f>
        <x:v>33</x:v>
      </x:c>
      <x:c r="B8"/>
      <x:c r="C8" s="168" t="n">
        <x:f>SUM('重訓紀錄'!$H$5:$H$304)</x:f>
        <x:v>15849.8932355625</x:v>
      </x:c>
      <x:c r="D8"/>
      <x:c r="E8" s="169" t="n">
        <x:f>'資金控制'!B9</x:f>
        <x:v>70000</x:v>
      </x:c>
      <x:c r="F8"/>
      <x:c r="G8" s="166" t="n">
        <x:f>MIN('資金控制'!B9/'資金控制'!B7,1)</x:f>
        <x:v>0.5775577557755776</x:v>
      </x:c>
      <x:c r="H8"/>
    </x:row>
    <x:row r="10">
      <x:c r="A10" s="83" t="str">
        <x:v>今天只做三件事</x:v>
      </x:c>
      <x:c r="B10" s="84"/>
      <x:c r="C10" s="84"/>
      <x:c r="D10" s="84"/>
      <x:c r="E10" s="84"/>
      <x:c r="F10" s="84"/>
      <x:c r="G10" s="84"/>
      <x:c r="H10" s="85"/>
    </x:row>
    <x:row r="11" ht="38" customHeight="1">
      <x:c r="A11" s="147" t="str">
        <x:v>1. 封閉資金入口：暫停運彩、終止 Tradeify、刪除 App、移除付款資料與取消盤口內容。</x:v>
      </x:c>
      <x:c r="B11" s="147"/>
      <x:c r="C11" s="147"/>
      <x:c r="D11" s="147"/>
      <x:c r="E11" s="147"/>
      <x:c r="F11" s="147"/>
      <x:c r="G11" s="147"/>
      <x:c r="H11" s="147"/>
    </x:row>
    <x:row r="12" ht="38" customHeight="1">
      <x:c r="A12" s="148" t="str">
        <x:v>2. 建立資金防線：設定入薪後自動轉存 80,000 元，寫下『210 萬已結束，不靠下注追回』。</x:v>
      </x:c>
      <x:c r="B12" s="148"/>
      <x:c r="C12" s="148"/>
      <x:c r="D12" s="148"/>
      <x:c r="E12" s="148"/>
      <x:c r="F12" s="148"/>
      <x:c r="G12" s="148"/>
      <x:c r="H12" s="148"/>
    </x:row>
    <x:row r="13" ht="38" customHeight="1">
      <x:c r="A13" s="149" t="str">
        <x:v>3. 建立晚間替代：完成第一次全身重訓，寫第一筆日誌，再散步或看一集影集。</x:v>
      </x:c>
      <x:c r="B13" s="149"/>
      <x:c r="C13" s="149"/>
      <x:c r="D13" s="149"/>
      <x:c r="E13" s="149"/>
      <x:c r="F13" s="149"/>
      <x:c r="G13" s="149"/>
      <x:c r="H13" s="149"/>
    </x:row>
    <x:row r="15">
      <x:c r="A15" s="83" t="str">
        <x:v>本週檢查</x:v>
      </x:c>
      <x:c r="B15" s="84"/>
      <x:c r="C15" s="84"/>
      <x:c r="D15" s="84"/>
      <x:c r="E15" s="84"/>
      <x:c r="F15" s="84"/>
      <x:c r="G15" s="84"/>
      <x:c r="H15" s="85"/>
    </x:row>
    <x:row r="16">
      <x:c r="A16" s="171" t="str">
        <x:v>項目</x:v>
      </x:c>
      <x:c r="B16" s="172" t="str">
        <x:v>目標</x:v>
      </x:c>
      <x:c r="C16" s="172" t="str">
        <x:v>目前</x:v>
      </x:c>
      <x:c r="D16" s="173" t="str">
        <x:v>狀態</x:v>
      </x:c>
      <x:c r="E16"/>
      <x:c r="F16"/>
      <x:c r="G16"/>
      <x:c r="H16"/>
    </x:row>
    <x:row r="17">
      <x:c r="A17" s="98" t="str">
        <x:v>零下注</x:v>
      </x:c>
      <x:c r="B17" s="116" t="str">
        <x:v>7 天</x:v>
      </x:c>
      <x:c r="C17" s="116" t="n">
        <x:f>'每週檢討'!D5</x:f>
        <x:v>5</x:v>
      </x:c>
      <x:c r="D17" s="176" t="str">
        <x:f>IF(C17&gt;=7,"達成","未達")</x:f>
        <x:v>未達</x:v>
      </x:c>
      <x:c r="E17"/>
      <x:c r="F17"/>
      <x:c r="G17"/>
      <x:c r="H17"/>
    </x:row>
    <x:row r="18">
      <x:c r="A18" s="98" t="str">
        <x:v>重訓</x:v>
      </x:c>
      <x:c r="B18" s="116" t="str">
        <x:v>3 次</x:v>
      </x:c>
      <x:c r="C18" s="116" t="n">
        <x:f>'每週檢討'!E5</x:f>
        <x:v>2</x:v>
      </x:c>
      <x:c r="D18" s="176" t="str">
        <x:f>IF(C18&gt;=3,"達成","未達")</x:f>
        <x:v>未達</x:v>
      </x:c>
      <x:c r="E18"/>
      <x:c r="F18"/>
      <x:c r="G18"/>
      <x:c r="H18"/>
    </x:row>
    <x:row r="19">
      <x:c r="A19" s="98" t="str">
        <x:v>散步</x:v>
      </x:c>
      <x:c r="B19" s="116" t="str">
        <x:v>120 分鐘</x:v>
      </x:c>
      <x:c r="C19" s="116" t="n">
        <x:f>'每週檢討'!F5</x:f>
        <x:v>60</x:v>
      </x:c>
      <x:c r="D19" s="176" t="str">
        <x:f>IF(C19&gt;=120,"達成","未達")</x:f>
        <x:v>未達</x:v>
      </x:c>
      <x:c r="E19"/>
      <x:c r="F19"/>
      <x:c r="G19"/>
      <x:c r="H19"/>
    </x:row>
    <x:row r="20">
      <x:c r="A20" s="104" t="str">
        <x:v>日誌</x:v>
      </x:c>
      <x:c r="B20" s="120" t="str">
        <x:v>7 天</x:v>
      </x:c>
      <x:c r="C20" s="120" t="n">
        <x:f>COUNTA('每日檢核'!$B$5:$B$11)</x:f>
        <x:v>5</x:v>
      </x:c>
      <x:c r="D20" s="177" t="str">
        <x:f>IF(C20&gt;=7,"達成","未達")</x:f>
        <x:v>未達</x:v>
      </x:c>
      <x:c r="E20"/>
      <x:c r="F20"/>
      <x:c r="G20"/>
      <x:c r="H20"/>
    </x:row>
  </x:sheetData>
  <x:mergeCells>
    <x:mergeCell ref="A1:H1"/>
    <x:mergeCell ref="A2:H2"/>
    <x:mergeCell ref="A4:H4"/>
    <x:mergeCell ref="A10:H10"/>
    <x:mergeCell ref="A11:H11"/>
    <x:mergeCell ref="A12:H12"/>
    <x:mergeCell ref="A13:H13"/>
    <x:mergeCell ref="A15:H15"/>
  </x:mergeCells>
  <x:conditionalFormatting sqref="D17:D20">
    <x:cfRule type="containsText" dxfId="4" priority="1" operator="containsText" text="達成"/>
    <x:cfRule type="containsText" dxfId="5" priority="2" operator="containsText" text="未達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3" hidden="0" customWidth="1"/>
    <x:col min="5" max="5" width="24" hidden="0" customWidth="1"/>
    <x:col min="6" max="6" width="24" hidden="0" customWidth="1"/>
    <x:col min="7" max="7" width="12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34" customHeight="1">
      <x:c r="A1" s="3" t="str">
        <x:v>30 天每日檢核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6" customHeight="1">
      <x:c r="A2" s="6" t="str">
        <x:v>2026-08-04 至 2026-09-02｜空白代表尚未回報，不會自動判定失敗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0" customHeight="1">
      <x:c r="A4" s="18" t="str">
        <x:v>日期</x:v>
      </x:c>
      <x:c r="B4" s="19" t="str">
        <x:v>零下注</x:v>
      </x:c>
      <x:c r="C4" s="19" t="str">
        <x:v>查看盤口</x:v>
      </x:c>
      <x:c r="D4" s="19" t="str">
        <x:v>衝動 0–10</x:v>
      </x:c>
      <x:c r="E4" s="19" t="str">
        <x:v>觸發原因</x:v>
      </x:c>
      <x:c r="F4" s="19" t="str">
        <x:v>替代行動</x:v>
      </x:c>
      <x:c r="G4" s="19" t="str">
        <x:v>完成重訓</x:v>
      </x:c>
      <x:c r="H4" s="19" t="str">
        <x:v>散步分鐘</x:v>
      </x:c>
      <x:c r="I4" s="19" t="str">
        <x:v>睡眠小時</x:v>
      </x:c>
      <x:c r="J4" s="20" t="str">
        <x:v>連續零下注</x:v>
      </x:c>
    </x:row>
    <x:row r="5">
      <x:c r="A5" s="37" t="n">
        <x:v>46238</x:v>
      </x:c>
      <x:c r="B5" s="38" t="str">
        <x:v>是</x:v>
      </x:c>
      <x:c r="C5" s="38" t="str">
        <x:v>否</x:v>
      </x:c>
      <x:c r="D5" s="38" t="n">
        <x:v>0</x:v>
      </x:c>
      <x:c r="E5" s="43"/>
      <x:c r="F5" s="43"/>
      <x:c r="G5" s="38" t="str">
        <x:f>IF(COUNTIF('重訓紀錄'!$A$5:$A$304,A5)&gt;0,"是",IF(B5="","","否"))</x:f>
        <x:v>是</x:v>
      </x:c>
      <x:c r="H5" s="38" t="n">
        <x:v>0</x:v>
      </x:c>
      <x:c r="I5" s="38" t="n">
        <x:v>8</x:v>
      </x:c>
      <x:c r="J5" s="38" t="n">
        <x:f>IF(B5="","",IF(B5="是",1,0))</x:f>
        <x:v>1</x:v>
      </x:c>
    </x:row>
    <x:row r="6">
      <x:c r="A6" s="39" t="n">
        <x:v>46239</x:v>
      </x:c>
      <x:c r="B6" s="40" t="str">
        <x:v>是</x:v>
      </x:c>
      <x:c r="C6" s="40" t="str">
        <x:v>否</x:v>
      </x:c>
      <x:c r="D6" s="40" t="n">
        <x:v>0</x:v>
      </x:c>
      <x:c r="E6" s="44"/>
      <x:c r="F6" s="44"/>
      <x:c r="G6" s="40" t="str">
        <x:v>否</x:v>
      </x:c>
      <x:c r="H6" s="40" t="n">
        <x:v>30</x:v>
      </x:c>
      <x:c r="I6" s="40" t="n">
        <x:v>7.5</x:v>
      </x:c>
      <x:c r="J6" s="40" t="n">
        <x:f>IF(B6="","",IF(B6="是",J5+1,0))</x:f>
        <x:v>2</x:v>
      </x:c>
    </x:row>
    <x:row r="7">
      <x:c r="A7" s="39" t="n">
        <x:v>46240</x:v>
      </x:c>
      <x:c r="B7" s="40" t="str">
        <x:v>是</x:v>
      </x:c>
      <x:c r="C7" s="40" t="str">
        <x:v>否</x:v>
      </x:c>
      <x:c r="D7" s="40" t="n">
        <x:v>0</x:v>
      </x:c>
      <x:c r="E7" s="44"/>
      <x:c r="F7" s="44"/>
      <x:c r="G7" s="40" t="str">
        <x:v>否</x:v>
      </x:c>
      <x:c r="H7" s="40" t="n">
        <x:v>30</x:v>
      </x:c>
      <x:c r="I7" s="40" t="n">
        <x:v>7</x:v>
      </x:c>
      <x:c r="J7" s="40" t="n">
        <x:f>IF(B7="是",J6+1,0)</x:f>
        <x:v>3</x:v>
      </x:c>
    </x:row>
    <x:row r="8">
      <x:c r="A8" s="39" t="n">
        <x:v>46241</x:v>
      </x:c>
      <x:c r="B8" s="40" t="str">
        <x:v>是</x:v>
      </x:c>
      <x:c r="C8" s="40" t="str">
        <x:v>否</x:v>
      </x:c>
      <x:c r="D8" s="40" t="n">
        <x:v>1</x:v>
      </x:c>
      <x:c r="E8" s="44" t="str">
        <x:v>看到 DC 群組的運彩分享</x:v>
      </x:c>
      <x:c r="F8" s="44" t="str">
        <x:v>無</x:v>
      </x:c>
      <x:c r="G8" s="40" t="str">
        <x:v>否</x:v>
      </x:c>
      <x:c r="H8" s="40" t="n">
        <x:v>0</x:v>
      </x:c>
      <x:c r="I8" s="40" t="n">
        <x:v>8</x:v>
      </x:c>
      <x:c r="J8" s="40" t="n">
        <x:f>IF(B8="是",J7+1,0)</x:f>
        <x:v>4</x:v>
      </x:c>
    </x:row>
    <x:row r="9">
      <x:c r="A9" s="39" t="n">
        <x:v>46242</x:v>
      </x:c>
      <x:c r="B9" s="40" t="str">
        <x:v>是</x:v>
      </x:c>
      <x:c r="C9" s="40" t="str">
        <x:v>否</x:v>
      </x:c>
      <x:c r="D9" s="40" t="n">
        <x:v>0</x:v>
      </x:c>
      <x:c r="E9" s="44"/>
      <x:c r="F9" s="44"/>
      <x:c r="G9" s="40" t="str">
        <x:v>是</x:v>
      </x:c>
      <x:c r="H9" s="40" t="n">
        <x:v>0</x:v>
      </x:c>
      <x:c r="I9" s="40" t="n">
        <x:v>10</x:v>
      </x:c>
      <x:c r="J9" s="40" t="n">
        <x:f>IF(B9="是",J8+1,0)</x:f>
        <x:v>5</x:v>
      </x:c>
    </x:row>
    <x:row r="10">
      <x:c r="A10" s="39" t="n">
        <x:v>46243</x:v>
      </x:c>
      <x:c r="B10" s="40"/>
      <x:c r="C10" s="40"/>
      <x:c r="D10" s="40"/>
      <x:c r="E10" s="44"/>
      <x:c r="F10" s="44"/>
      <x:c r="G10" s="40" t="str">
        <x:f>IF(COUNTIF('重訓紀錄'!$A$5:$A$304,A10)&gt;0,"是",IF(B10="","","否"))</x:f>
      </x:c>
      <x:c r="H10" s="40"/>
      <x:c r="I10" s="40"/>
      <x:c r="J10" s="40" t="str">
        <x:f>IF(B10="","",IF(B10="是",J9+1,0))</x:f>
      </x:c>
    </x:row>
    <x:row r="11">
      <x:c r="A11" s="39" t="n">
        <x:v>46244</x:v>
      </x:c>
      <x:c r="B11" s="40"/>
      <x:c r="C11" s="40"/>
      <x:c r="D11" s="40"/>
      <x:c r="E11" s="44"/>
      <x:c r="F11" s="44"/>
      <x:c r="G11" s="40" t="str">
        <x:f>IF(COUNTIF('重訓紀錄'!$A$5:$A$304,A11)&gt;0,"是",IF(B11="","","否"))</x:f>
      </x:c>
      <x:c r="H11" s="40"/>
      <x:c r="I11" s="40"/>
      <x:c r="J11" s="40" t="str">
        <x:f>IF(B11="","",IF(B11="是",J10+1,0))</x:f>
      </x:c>
    </x:row>
    <x:row r="12">
      <x:c r="A12" s="39" t="n">
        <x:v>46245</x:v>
      </x:c>
      <x:c r="B12" s="40"/>
      <x:c r="C12" s="40"/>
      <x:c r="D12" s="40"/>
      <x:c r="E12" s="44"/>
      <x:c r="F12" s="44"/>
      <x:c r="G12" s="40" t="str">
        <x:f>IF(COUNTIF('重訓紀錄'!$A$5:$A$304,A12)&gt;0,"是",IF(B12="","","否"))</x:f>
      </x:c>
      <x:c r="H12" s="40"/>
      <x:c r="I12" s="40"/>
      <x:c r="J12" s="40" t="str">
        <x:f>IF(B12="","",IF(B12="是",J11+1,0))</x:f>
      </x:c>
    </x:row>
    <x:row r="13">
      <x:c r="A13" s="39" t="n">
        <x:v>46246</x:v>
      </x:c>
      <x:c r="B13" s="40"/>
      <x:c r="C13" s="40"/>
      <x:c r="D13" s="40"/>
      <x:c r="E13" s="44"/>
      <x:c r="F13" s="44"/>
      <x:c r="G13" s="40" t="str">
        <x:f>IF(COUNTIF('重訓紀錄'!$A$5:$A$304,A13)&gt;0,"是",IF(B13="","","否"))</x:f>
      </x:c>
      <x:c r="H13" s="40"/>
      <x:c r="I13" s="40"/>
      <x:c r="J13" s="40" t="str">
        <x:f>IF(B13="","",IF(B13="是",J12+1,0))</x:f>
      </x:c>
    </x:row>
    <x:row r="14">
      <x:c r="A14" s="39" t="n">
        <x:v>46247</x:v>
      </x:c>
      <x:c r="B14" s="40"/>
      <x:c r="C14" s="40"/>
      <x:c r="D14" s="40"/>
      <x:c r="E14" s="44"/>
      <x:c r="F14" s="44"/>
      <x:c r="G14" s="40" t="str">
        <x:f>IF(COUNTIF('重訓紀錄'!$A$5:$A$304,A14)&gt;0,"是",IF(B14="","","否"))</x:f>
      </x:c>
      <x:c r="H14" s="40"/>
      <x:c r="I14" s="40"/>
      <x:c r="J14" s="40" t="str">
        <x:f>IF(B14="","",IF(B14="是",J13+1,0))</x:f>
      </x:c>
    </x:row>
    <x:row r="15">
      <x:c r="A15" s="39" t="n">
        <x:v>46248</x:v>
      </x:c>
      <x:c r="B15" s="40"/>
      <x:c r="C15" s="40"/>
      <x:c r="D15" s="40"/>
      <x:c r="E15" s="44"/>
      <x:c r="F15" s="44"/>
      <x:c r="G15" s="40" t="str">
        <x:f>IF(COUNTIF('重訓紀錄'!$A$5:$A$304,A15)&gt;0,"是",IF(B15="","","否"))</x:f>
      </x:c>
      <x:c r="H15" s="40"/>
      <x:c r="I15" s="40"/>
      <x:c r="J15" s="40" t="str">
        <x:f>IF(B15="","",IF(B15="是",J14+1,0))</x:f>
      </x:c>
    </x:row>
    <x:row r="16">
      <x:c r="A16" s="39" t="n">
        <x:v>46249</x:v>
      </x:c>
      <x:c r="B16" s="40"/>
      <x:c r="C16" s="40"/>
      <x:c r="D16" s="40"/>
      <x:c r="E16" s="44"/>
      <x:c r="F16" s="44"/>
      <x:c r="G16" s="40" t="str">
        <x:f>IF(COUNTIF('重訓紀錄'!$A$5:$A$304,A16)&gt;0,"是",IF(B16="","","否"))</x:f>
      </x:c>
      <x:c r="H16" s="40"/>
      <x:c r="I16" s="40"/>
      <x:c r="J16" s="40" t="str">
        <x:f>IF(B16="","",IF(B16="是",J15+1,0))</x:f>
      </x:c>
    </x:row>
    <x:row r="17">
      <x:c r="A17" s="39" t="n">
        <x:v>46250</x:v>
      </x:c>
      <x:c r="B17" s="40"/>
      <x:c r="C17" s="40"/>
      <x:c r="D17" s="40"/>
      <x:c r="E17" s="44"/>
      <x:c r="F17" s="44"/>
      <x:c r="G17" s="40" t="str">
        <x:f>IF(COUNTIF('重訓紀錄'!$A$5:$A$304,A17)&gt;0,"是",IF(B17="","","否"))</x:f>
      </x:c>
      <x:c r="H17" s="40"/>
      <x:c r="I17" s="40"/>
      <x:c r="J17" s="40" t="str">
        <x:f>IF(B17="","",IF(B17="是",J16+1,0))</x:f>
      </x:c>
    </x:row>
    <x:row r="18">
      <x:c r="A18" s="39" t="n">
        <x:v>46251</x:v>
      </x:c>
      <x:c r="B18" s="40"/>
      <x:c r="C18" s="40"/>
      <x:c r="D18" s="40"/>
      <x:c r="E18" s="44"/>
      <x:c r="F18" s="44"/>
      <x:c r="G18" s="40" t="str">
        <x:f>IF(COUNTIF('重訓紀錄'!$A$5:$A$304,A18)&gt;0,"是",IF(B18="","","否"))</x:f>
      </x:c>
      <x:c r="H18" s="40"/>
      <x:c r="I18" s="40"/>
      <x:c r="J18" s="40" t="str">
        <x:f>IF(B18="","",IF(B18="是",J17+1,0))</x:f>
      </x:c>
    </x:row>
    <x:row r="19">
      <x:c r="A19" s="39" t="n">
        <x:v>46252</x:v>
      </x:c>
      <x:c r="B19" s="40"/>
      <x:c r="C19" s="40"/>
      <x:c r="D19" s="40"/>
      <x:c r="E19" s="44"/>
      <x:c r="F19" s="44"/>
      <x:c r="G19" s="40" t="str">
        <x:f>IF(COUNTIF('重訓紀錄'!$A$5:$A$304,A19)&gt;0,"是",IF(B19="","","否"))</x:f>
      </x:c>
      <x:c r="H19" s="40"/>
      <x:c r="I19" s="40"/>
      <x:c r="J19" s="40" t="str">
        <x:f>IF(B19="","",IF(B19="是",J18+1,0))</x:f>
      </x:c>
    </x:row>
    <x:row r="20">
      <x:c r="A20" s="39" t="n">
        <x:v>46253</x:v>
      </x:c>
      <x:c r="B20" s="40"/>
      <x:c r="C20" s="40"/>
      <x:c r="D20" s="40"/>
      <x:c r="E20" s="44"/>
      <x:c r="F20" s="44"/>
      <x:c r="G20" s="40" t="str">
        <x:f>IF(COUNTIF('重訓紀錄'!$A$5:$A$304,A20)&gt;0,"是",IF(B20="","","否"))</x:f>
      </x:c>
      <x:c r="H20" s="40"/>
      <x:c r="I20" s="40"/>
      <x:c r="J20" s="40" t="str">
        <x:f>IF(B20="","",IF(B20="是",J19+1,0))</x:f>
      </x:c>
    </x:row>
    <x:row r="21">
      <x:c r="A21" s="39" t="n">
        <x:v>46254</x:v>
      </x:c>
      <x:c r="B21" s="40"/>
      <x:c r="C21" s="40"/>
      <x:c r="D21" s="40"/>
      <x:c r="E21" s="44"/>
      <x:c r="F21" s="44"/>
      <x:c r="G21" s="40" t="str">
        <x:f>IF(COUNTIF('重訓紀錄'!$A$5:$A$304,A21)&gt;0,"是",IF(B21="","","否"))</x:f>
      </x:c>
      <x:c r="H21" s="40"/>
      <x:c r="I21" s="40"/>
      <x:c r="J21" s="40" t="str">
        <x:f>IF(B21="","",IF(B21="是",J20+1,0))</x:f>
      </x:c>
    </x:row>
    <x:row r="22">
      <x:c r="A22" s="39" t="n">
        <x:v>46255</x:v>
      </x:c>
      <x:c r="B22" s="40"/>
      <x:c r="C22" s="40"/>
      <x:c r="D22" s="40"/>
      <x:c r="E22" s="44"/>
      <x:c r="F22" s="44"/>
      <x:c r="G22" s="40" t="str">
        <x:f>IF(COUNTIF('重訓紀錄'!$A$5:$A$304,A22)&gt;0,"是",IF(B22="","","否"))</x:f>
      </x:c>
      <x:c r="H22" s="40"/>
      <x:c r="I22" s="40"/>
      <x:c r="J22" s="40" t="str">
        <x:f>IF(B22="","",IF(B22="是",J21+1,0))</x:f>
      </x:c>
    </x:row>
    <x:row r="23">
      <x:c r="A23" s="39" t="n">
        <x:v>46256</x:v>
      </x:c>
      <x:c r="B23" s="40"/>
      <x:c r="C23" s="40"/>
      <x:c r="D23" s="40"/>
      <x:c r="E23" s="44"/>
      <x:c r="F23" s="44"/>
      <x:c r="G23" s="40" t="str">
        <x:f>IF(COUNTIF('重訓紀錄'!$A$5:$A$304,A23)&gt;0,"是",IF(B23="","","否"))</x:f>
      </x:c>
      <x:c r="H23" s="40"/>
      <x:c r="I23" s="40"/>
      <x:c r="J23" s="40" t="str">
        <x:f>IF(B23="","",IF(B23="是",J22+1,0))</x:f>
      </x:c>
    </x:row>
    <x:row r="24">
      <x:c r="A24" s="39" t="n">
        <x:v>46257</x:v>
      </x:c>
      <x:c r="B24" s="40"/>
      <x:c r="C24" s="40"/>
      <x:c r="D24" s="40"/>
      <x:c r="E24" s="44"/>
      <x:c r="F24" s="44"/>
      <x:c r="G24" s="40" t="str">
        <x:f>IF(COUNTIF('重訓紀錄'!$A$5:$A$304,A24)&gt;0,"是",IF(B24="","","否"))</x:f>
      </x:c>
      <x:c r="H24" s="40"/>
      <x:c r="I24" s="40"/>
      <x:c r="J24" s="40" t="str">
        <x:f>IF(B24="","",IF(B24="是",J23+1,0))</x:f>
      </x:c>
    </x:row>
    <x:row r="25">
      <x:c r="A25" s="39" t="n">
        <x:v>46258</x:v>
      </x:c>
      <x:c r="B25" s="40"/>
      <x:c r="C25" s="40"/>
      <x:c r="D25" s="40"/>
      <x:c r="E25" s="44"/>
      <x:c r="F25" s="44"/>
      <x:c r="G25" s="40" t="str">
        <x:f>IF(COUNTIF('重訓紀錄'!$A$5:$A$304,A25)&gt;0,"是",IF(B25="","","否"))</x:f>
      </x:c>
      <x:c r="H25" s="40"/>
      <x:c r="I25" s="40"/>
      <x:c r="J25" s="40" t="str">
        <x:f>IF(B25="","",IF(B25="是",J24+1,0))</x:f>
      </x:c>
    </x:row>
    <x:row r="26">
      <x:c r="A26" s="39" t="n">
        <x:v>46259</x:v>
      </x:c>
      <x:c r="B26" s="40"/>
      <x:c r="C26" s="40"/>
      <x:c r="D26" s="40"/>
      <x:c r="E26" s="44"/>
      <x:c r="F26" s="44"/>
      <x:c r="G26" s="40" t="str">
        <x:f>IF(COUNTIF('重訓紀錄'!$A$5:$A$304,A26)&gt;0,"是",IF(B26="","","否"))</x:f>
      </x:c>
      <x:c r="H26" s="40"/>
      <x:c r="I26" s="40"/>
      <x:c r="J26" s="40" t="str">
        <x:f>IF(B26="","",IF(B26="是",J25+1,0))</x:f>
      </x:c>
    </x:row>
    <x:row r="27">
      <x:c r="A27" s="39" t="n">
        <x:v>46260</x:v>
      </x:c>
      <x:c r="B27" s="40"/>
      <x:c r="C27" s="40"/>
      <x:c r="D27" s="40"/>
      <x:c r="E27" s="44"/>
      <x:c r="F27" s="44"/>
      <x:c r="G27" s="40" t="str">
        <x:f>IF(COUNTIF('重訓紀錄'!$A$5:$A$304,A27)&gt;0,"是",IF(B27="","","否"))</x:f>
      </x:c>
      <x:c r="H27" s="40"/>
      <x:c r="I27" s="40"/>
      <x:c r="J27" s="40" t="str">
        <x:f>IF(B27="","",IF(B27="是",J26+1,0))</x:f>
      </x:c>
    </x:row>
    <x:row r="28">
      <x:c r="A28" s="39" t="n">
        <x:v>46261</x:v>
      </x:c>
      <x:c r="B28" s="40"/>
      <x:c r="C28" s="40"/>
      <x:c r="D28" s="40"/>
      <x:c r="E28" s="44"/>
      <x:c r="F28" s="44"/>
      <x:c r="G28" s="40" t="str">
        <x:f>IF(COUNTIF('重訓紀錄'!$A$5:$A$304,A28)&gt;0,"是",IF(B28="","","否"))</x:f>
      </x:c>
      <x:c r="H28" s="40"/>
      <x:c r="I28" s="40"/>
      <x:c r="J28" s="40" t="str">
        <x:f>IF(B28="","",IF(B28="是",J27+1,0))</x:f>
      </x:c>
    </x:row>
    <x:row r="29">
      <x:c r="A29" s="39" t="n">
        <x:v>46262</x:v>
      </x:c>
      <x:c r="B29" s="40"/>
      <x:c r="C29" s="40"/>
      <x:c r="D29" s="40"/>
      <x:c r="E29" s="44"/>
      <x:c r="F29" s="44"/>
      <x:c r="G29" s="40" t="str">
        <x:f>IF(COUNTIF('重訓紀錄'!$A$5:$A$304,A29)&gt;0,"是",IF(B29="","","否"))</x:f>
      </x:c>
      <x:c r="H29" s="40"/>
      <x:c r="I29" s="40"/>
      <x:c r="J29" s="40" t="str">
        <x:f>IF(B29="","",IF(B29="是",J28+1,0))</x:f>
      </x:c>
    </x:row>
    <x:row r="30">
      <x:c r="A30" s="39" t="n">
        <x:v>46263</x:v>
      </x:c>
      <x:c r="B30" s="40"/>
      <x:c r="C30" s="40"/>
      <x:c r="D30" s="40"/>
      <x:c r="E30" s="44"/>
      <x:c r="F30" s="44"/>
      <x:c r="G30" s="40" t="str">
        <x:f>IF(COUNTIF('重訓紀錄'!$A$5:$A$304,A30)&gt;0,"是",IF(B30="","","否"))</x:f>
      </x:c>
      <x:c r="H30" s="40"/>
      <x:c r="I30" s="40"/>
      <x:c r="J30" s="40" t="str">
        <x:f>IF(B30="","",IF(B30="是",J29+1,0))</x:f>
      </x:c>
    </x:row>
    <x:row r="31">
      <x:c r="A31" s="39" t="n">
        <x:v>46264</x:v>
      </x:c>
      <x:c r="B31" s="40"/>
      <x:c r="C31" s="40"/>
      <x:c r="D31" s="40"/>
      <x:c r="E31" s="44"/>
      <x:c r="F31" s="44"/>
      <x:c r="G31" s="40" t="str">
        <x:f>IF(COUNTIF('重訓紀錄'!$A$5:$A$304,A31)&gt;0,"是",IF(B31="","","否"))</x:f>
      </x:c>
      <x:c r="H31" s="40"/>
      <x:c r="I31" s="40"/>
      <x:c r="J31" s="40" t="str">
        <x:f>IF(B31="","",IF(B31="是",J30+1,0))</x:f>
      </x:c>
    </x:row>
    <x:row r="32">
      <x:c r="A32" s="39" t="n">
        <x:v>46265</x:v>
      </x:c>
      <x:c r="B32" s="40"/>
      <x:c r="C32" s="40"/>
      <x:c r="D32" s="40"/>
      <x:c r="E32" s="44"/>
      <x:c r="F32" s="44"/>
      <x:c r="G32" s="40" t="str">
        <x:f>IF(COUNTIF('重訓紀錄'!$A$5:$A$304,A32)&gt;0,"是",IF(B32="","","否"))</x:f>
      </x:c>
      <x:c r="H32" s="40"/>
      <x:c r="I32" s="40"/>
      <x:c r="J32" s="40" t="str">
        <x:f>IF(B32="","",IF(B32="是",J31+1,0))</x:f>
      </x:c>
    </x:row>
    <x:row r="33">
      <x:c r="A33" s="39" t="n">
        <x:v>46266</x:v>
      </x:c>
      <x:c r="B33" s="40"/>
      <x:c r="C33" s="40"/>
      <x:c r="D33" s="40"/>
      <x:c r="E33" s="44"/>
      <x:c r="F33" s="44"/>
      <x:c r="G33" s="40" t="str">
        <x:f>IF(COUNTIF('重訓紀錄'!$A$5:$A$304,A33)&gt;0,"是",IF(B33="","","否"))</x:f>
      </x:c>
      <x:c r="H33" s="40"/>
      <x:c r="I33" s="40"/>
      <x:c r="J33" s="40" t="str">
        <x:f>IF(B33="","",IF(B33="是",J32+1,0))</x:f>
      </x:c>
    </x:row>
    <x:row r="34">
      <x:c r="A34" s="41" t="n">
        <x:v>46267</x:v>
      </x:c>
      <x:c r="B34" s="42"/>
      <x:c r="C34" s="42"/>
      <x:c r="D34" s="42"/>
      <x:c r="E34" s="45"/>
      <x:c r="F34" s="45"/>
      <x:c r="G34" s="42" t="str">
        <x:f>IF(COUNTIF('重訓紀錄'!$A$5:$A$304,A34)&gt;0,"是",IF(B34="","","否"))</x:f>
      </x:c>
      <x:c r="H34" s="42"/>
      <x:c r="I34" s="42"/>
      <x:c r="J34" s="42" t="str">
        <x:f>IF(B34="","",IF(B34="是",J33+1,0))</x:f>
      </x:c>
    </x:row>
    <x:row r="36">
      <x:c r="A36" s="203" t="str">
        <x:v>準備日基準（不納入 30 天統計）</x:v>
      </x:c>
      <x:c r="B36" s="204"/>
      <x:c r="C36" s="204"/>
      <x:c r="D36" s="204"/>
      <x:c r="E36" s="204"/>
      <x:c r="F36" s="204"/>
      <x:c r="G36" s="204"/>
      <x:c r="H36" s="204"/>
      <x:c r="I36" s="204"/>
      <x:c r="J36" s="205"/>
    </x:row>
    <x:row r="37" ht="30" customHeight="1">
      <x:c r="A37" s="210" t="str">
        <x:v>日期</x:v>
      </x:c>
      <x:c r="B37" s="210" t="str">
        <x:v>零下注</x:v>
      </x:c>
      <x:c r="C37" s="210" t="str">
        <x:v>查看盤口</x:v>
      </x:c>
      <x:c r="D37" s="210" t="str">
        <x:v>衝動 0–10</x:v>
      </x:c>
      <x:c r="E37" s="210" t="str">
        <x:v>觸發原因</x:v>
      </x:c>
      <x:c r="F37" s="210" t="str">
        <x:v>替代行動</x:v>
      </x:c>
      <x:c r="G37" s="210" t="str">
        <x:v>完成重訓</x:v>
      </x:c>
      <x:c r="H37" s="210" t="str">
        <x:v>散步分鐘</x:v>
      </x:c>
      <x:c r="I37" s="210" t="str">
        <x:v>睡眠小時</x:v>
      </x:c>
      <x:c r="J37" s="210" t="str">
        <x:v>備註</x:v>
      </x:c>
    </x:row>
    <x:row r="38" ht="42" customHeight="1">
      <x:c r="A38" s="217" t="n">
        <x:v>46237</x:v>
      </x:c>
      <x:c r="B38" s="220" t="str">
        <x:v>是</x:v>
      </x:c>
      <x:c r="C38" s="222" t="str">
        <x:v>是</x:v>
      </x:c>
      <x:c r="D38" s="218" t="n">
        <x:v>3</x:v>
      </x:c>
      <x:c r="E38" s="44" t="str">
        <x:v>看到 DC 群通知與推薦</x:v>
      </x:c>
      <x:c r="F38" s="44" t="str">
        <x:v>將運彩下注上限改成 0</x:v>
      </x:c>
      <x:c r="G38" s="218" t="str">
        <x:v>否</x:v>
      </x:c>
      <x:c r="H38" s="218" t="n">
        <x:v>15</x:v>
      </x:c>
      <x:c r="I38" s="218" t="n">
        <x:v>6</x:v>
      </x:c>
      <x:c r="J38" s="215" t="str">
        <x:v>準備日；不計入正式 30 天完成率。</x:v>
      </x:c>
    </x:row>
  </x:sheetData>
  <x:mergeCells>
    <x:mergeCell ref="A1:J1"/>
    <x:mergeCell ref="A2:J2"/>
    <x:mergeCell ref="A36:J36"/>
  </x:mergeCells>
  <x:conditionalFormatting sqref="B5:B34">
    <x:cfRule type="containsText" dxfId="0" priority="1" operator="containsText" text="否"/>
    <x:cfRule type="containsText" dxfId="1" priority="2" operator="containsText" text="是"/>
  </x:conditionalFormatting>
  <x:conditionalFormatting sqref="C5:C34">
    <x:cfRule type="containsText" dxfId="2" priority="3" operator="containsText" text="是"/>
  </x:conditionalFormatting>
  <x:conditionalFormatting sqref="G5:G34">
    <x:cfRule type="containsText" dxfId="3" priority="4" operator="containsText" text="是"/>
  </x:conditionalFormatting>
  <x:dataValidations count="11">
    <x:dataValidation type="list" sqref="B5:B34">
      <x:formula1>"是,否"</x:formula1>
    </x:dataValidation>
    <x:dataValidation type="list" sqref="C5:C34">
      <x:formula1>"否,是"</x:formula1>
    </x:dataValidation>
    <x:dataValidation type="whole" operator="between" sqref="D5:D34">
      <x:formula1>0</x:formula1>
      <x:formula2>10</x:formula2>
    </x:dataValidation>
    <x:dataValidation type="whole" operator="between" sqref="H5:H34">
      <x:formula1>0</x:formula1>
      <x:formula2>600</x:formula2>
    </x:dataValidation>
    <x:dataValidation type="decimal" operator="between" sqref="I5:I34">
      <x:formula1>0</x:formula1>
      <x:formula2>24</x:formula2>
    </x:dataValidation>
    <x:dataValidation type="list" sqref="B38">
      <x:formula1>"是,否"</x:formula1>
    </x:dataValidation>
    <x:dataValidation type="list" sqref="C38">
      <x:formula1>"否,是"</x:formula1>
    </x:dataValidation>
    <x:dataValidation type="list" sqref="G38">
      <x:formula1>"是,否"</x:formula1>
    </x:dataValidation>
    <x:dataValidation type="whole" operator="between" sqref="D38">
      <x:formula1>0</x:formula1>
      <x:formula2>10</x:formula2>
    </x:dataValidation>
    <x:dataValidation type="whole" operator="between" sqref="H38">
      <x:formula1>0</x:formula1>
      <x:formula2>600</x:formula2>
    </x:dataValidation>
    <x:dataValidation type="decimal" operator="between" sqref="I38">
      <x:formula1>0</x:formula1>
      <x:formula2>24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21" hidden="0" customWidth="1"/>
    <x:col min="4" max="4" width="9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4" hidden="0" customWidth="1"/>
  </x:cols>
  <x:sheetData>
    <x:row r="1" ht="34" customHeight="1">
      <x:c r="A1" s="3" t="str">
        <x:v>逐組重訓紀錄</x:v>
      </x:c>
      <x:c r="B1" s="3"/>
      <x:c r="C1" s="3"/>
      <x:c r="D1" s="3"/>
      <x:c r="E1" s="3"/>
      <x:c r="F1" s="3"/>
      <x:c r="G1" s="3"/>
      <x:c r="H1" s="3"/>
      <x:c r="I1" s="3"/>
    </x:row>
    <x:row r="2" ht="26" customHeight="1">
      <x:c r="A2" s="6" t="str">
        <x:v>啞鈴填單手重量；自重動作重量填 0 並在備註註明「自重」</x:v>
      </x:c>
      <x:c r="B2" s="6"/>
      <x:c r="C2" s="6"/>
      <x:c r="D2" s="6"/>
      <x:c r="E2" s="6"/>
      <x:c r="F2" s="6"/>
      <x:c r="G2" s="6"/>
      <x:c r="H2" s="6"/>
      <x:c r="I2" s="6"/>
    </x:row>
    <x:row r="4" ht="30" customHeight="1">
      <x:c r="A4" s="18" t="str">
        <x:v>日期</x:v>
      </x:c>
      <x:c r="B4" s="19" t="str">
        <x:v>訓練名稱</x:v>
      </x:c>
      <x:c r="C4" s="19" t="str">
        <x:v>動作</x:v>
      </x:c>
      <x:c r="D4" s="19" t="str">
        <x:v>組次</x:v>
      </x:c>
      <x:c r="E4" s="19" t="str">
        <x:v>重量（kg）</x:v>
      </x:c>
      <x:c r="F4" s="19" t="str">
        <x:v>次數</x:v>
      </x:c>
      <x:c r="G4" s="19" t="str">
        <x:v>RPE</x:v>
      </x:c>
      <x:c r="H4" s="19" t="str">
        <x:v>訓練量</x:v>
      </x:c>
      <x:c r="I4" s="20" t="str">
        <x:v>備註</x:v>
      </x:c>
    </x:row>
    <x:row r="5">
      <x:c r="A5" s="37" t="n">
        <x:v>46238</x:v>
      </x:c>
      <x:c r="B5" s="32" t="str">
        <x:v>重訓</x:v>
      </x:c>
      <x:c r="C5" s="32" t="str">
        <x:v>睾丸繩下拉</x:v>
      </x:c>
      <x:c r="D5" s="66" t="n">
        <x:v>1</x:v>
      </x:c>
      <x:c r="E5" s="67" t="n">
        <x:v>2.8349523125</x:v>
      </x:c>
      <x:c r="F5" s="67" t="n">
        <x:v>13</x:v>
      </x:c>
      <x:c r="G5" s="67" t="n">
        <x:v>8</x:v>
      </x:c>
      <x:c r="H5" s="68" t="n">
        <x:f>IF(OR(E5="",F5=""),"",E5*F5)</x:f>
        <x:v>36.8543800625</x:v>
      </x:c>
      <x:c r="I5" s="43" t="str">
        <x:v>原始重量 6.25 lb；動作名稱照使用者原文。</x:v>
      </x:c>
    </x:row>
    <x:row r="6">
      <x:c r="A6" s="39" t="n">
        <x:v>46238</x:v>
      </x:c>
      <x:c r="B6" s="34" t="str">
        <x:v>重訓</x:v>
      </x:c>
      <x:c r="C6" s="34" t="str">
        <x:v>睾丸繩下拉</x:v>
      </x:c>
      <x:c r="D6" s="69" t="n">
        <x:v>2</x:v>
      </x:c>
      <x:c r="E6" s="70" t="n">
        <x:v>2.8349523125</x:v>
      </x:c>
      <x:c r="F6" s="70" t="n">
        <x:v>11</x:v>
      </x:c>
      <x:c r="G6" s="70" t="n">
        <x:v>9</x:v>
      </x:c>
      <x:c r="H6" s="71" t="n">
        <x:f>IF(OR(E6="",F6=""),"",E6*F6)</x:f>
        <x:v>31.1844754375</x:v>
      </x:c>
      <x:c r="I6" s="44" t="str">
        <x:v>原始重量 6.25 lb；動作名稱照使用者原文。</x:v>
      </x:c>
    </x:row>
    <x:row r="7">
      <x:c r="A7" s="39" t="n">
        <x:v>46238</x:v>
      </x:c>
      <x:c r="B7" s="34" t="str">
        <x:v>重訓</x:v>
      </x:c>
      <x:c r="C7" s="34" t="str">
        <x:v>睾丸繩下拉</x:v>
      </x:c>
      <x:c r="D7" s="69" t="n">
        <x:v>3</x:v>
      </x:c>
      <x:c r="E7" s="70" t="n">
        <x:v>2.8349523125</x:v>
      </x:c>
      <x:c r="F7" s="70" t="n">
        <x:v>8</x:v>
      </x:c>
      <x:c r="G7" s="70" t="n">
        <x:v>9</x:v>
      </x:c>
      <x:c r="H7" s="71" t="n">
        <x:f>IF(OR(E7="",F7=""),"",E7*F7)</x:f>
        <x:v>22.6796185</x:v>
      </x:c>
      <x:c r="I7" s="44" t="str">
        <x:v>原始重量 6.25 lb；動作名稱照使用者原文。</x:v>
      </x:c>
    </x:row>
    <x:row r="8">
      <x:c r="A8" s="39" t="n">
        <x:v>46238</x:v>
      </x:c>
      <x:c r="B8" s="34" t="str">
        <x:v>重訓</x:v>
      </x:c>
      <x:c r="C8" s="34" t="str">
        <x:v>睾丸繩下拉</x:v>
      </x:c>
      <x:c r="D8" s="69" t="n">
        <x:v>4</x:v>
      </x:c>
      <x:c r="E8" s="70" t="n">
        <x:v>2.8349523125</x:v>
      </x:c>
      <x:c r="F8" s="70" t="n">
        <x:v>5</x:v>
      </x:c>
      <x:c r="G8" s="70" t="n">
        <x:v>9</x:v>
      </x:c>
      <x:c r="H8" s="71" t="n">
        <x:f>IF(OR(E8="",F8=""),"",E8*F8)</x:f>
        <x:v>14.1747615625</x:v>
      </x:c>
      <x:c r="I8" s="44" t="str">
        <x:v>原始重量 6.25 lb；動作名稱照使用者原文。</x:v>
      </x:c>
    </x:row>
    <x:row r="9">
      <x:c r="A9" s="39" t="n">
        <x:v>46238</x:v>
      </x:c>
      <x:c r="B9" s="34" t="str">
        <x:v>重訓</x:v>
      </x:c>
      <x:c r="C9" s="34" t="str">
        <x:v>腿推舉</x:v>
      </x:c>
      <x:c r="D9" s="69" t="n">
        <x:v>1</x:v>
      </x:c>
      <x:c r="E9" s="70" t="n">
        <x:v>80</x:v>
      </x:c>
      <x:c r="F9" s="70" t="n">
        <x:v>16</x:v>
      </x:c>
      <x:c r="G9" s="70" t="n">
        <x:v>7</x:v>
      </x:c>
      <x:c r="H9" s="71" t="n">
        <x:f>IF(OR(E9="",F9=""),"",E9*F9)</x:f>
        <x:v>1280</x:v>
      </x:c>
      <x:c r="I9" s="44" t="str">
        <x:v>依照片辨識為腿推舉；原回報剩餘 3 下（RIR 3），換算 RPE 7。</x:v>
      </x:c>
    </x:row>
    <x:row r="10">
      <x:c r="A10" s="39" t="n">
        <x:v>46238</x:v>
      </x:c>
      <x:c r="B10" s="34" t="str">
        <x:v>重訓</x:v>
      </x:c>
      <x:c r="C10" s="34" t="str">
        <x:v>腿推舉</x:v>
      </x:c>
      <x:c r="D10" s="69" t="n">
        <x:v>2</x:v>
      </x:c>
      <x:c r="E10" s="70" t="n">
        <x:v>80</x:v>
      </x:c>
      <x:c r="F10" s="70" t="n">
        <x:v>18</x:v>
      </x:c>
      <x:c r="G10" s="70" t="n">
        <x:v>8</x:v>
      </x:c>
      <x:c r="H10" s="71" t="n">
        <x:f>IF(OR(E10="",F10=""),"",E10*F10)</x:f>
        <x:v>1440</x:v>
      </x:c>
      <x:c r="I10" s="44" t="str">
        <x:v>依照片辨識為腿推舉；原回報剩餘 2 下（RIR 2），換算 RPE 8。</x:v>
      </x:c>
    </x:row>
    <x:row r="11">
      <x:c r="A11" s="39" t="n">
        <x:v>46238</x:v>
      </x:c>
      <x:c r="B11" s="34" t="str">
        <x:v>重訓</x:v>
      </x:c>
      <x:c r="C11" s="34" t="str">
        <x:v>腿推舉</x:v>
      </x:c>
      <x:c r="D11" s="69" t="n">
        <x:v>3</x:v>
      </x:c>
      <x:c r="E11" s="70" t="n">
        <x:v>80</x:v>
      </x:c>
      <x:c r="F11" s="70" t="n">
        <x:v>16</x:v>
      </x:c>
      <x:c r="G11" s="70" t="n">
        <x:v>9</x:v>
      </x:c>
      <x:c r="H11" s="71" t="n">
        <x:f>IF(OR(E11="",F11=""),"",E11*F11)</x:f>
        <x:v>1280</x:v>
      </x:c>
      <x:c r="I11" s="44" t="str">
        <x:v>依照片辨識為腿推舉；原回報剩餘 1 下（RIR 1），換算 RPE 9。</x:v>
      </x:c>
    </x:row>
    <x:row r="12">
      <x:c r="A12" s="39" t="n">
        <x:v>46238</x:v>
      </x:c>
      <x:c r="B12" s="34" t="str">
        <x:v>重訓</x:v>
      </x:c>
      <x:c r="C12" s="34" t="str">
        <x:v>腿推舉</x:v>
      </x:c>
      <x:c r="D12" s="69" t="n">
        <x:v>4</x:v>
      </x:c>
      <x:c r="E12" s="70" t="n">
        <x:v>80</x:v>
      </x:c>
      <x:c r="F12" s="70" t="n">
        <x:v>16</x:v>
      </x:c>
      <x:c r="G12" s="70" t="n">
        <x:v>10</x:v>
      </x:c>
      <x:c r="H12" s="71" t="n">
        <x:f>IF(OR(E12="",F12=""),"",E12*F12)</x:f>
        <x:v>1280</x:v>
      </x:c>
      <x:c r="I12" s="44" t="str">
        <x:v>原回報剩餘 0 下（RIR 0），換算 RPE 10。</x:v>
      </x:c>
    </x:row>
    <x:row r="13">
      <x:c r="A13" s="39" t="n">
        <x:v>46238</x:v>
      </x:c>
      <x:c r="B13" s="34" t="str">
        <x:v>重訓</x:v>
      </x:c>
      <x:c r="C13" s="34" t="str">
        <x:v>坐姿胸推</x:v>
      </x:c>
      <x:c r="D13" s="69" t="n">
        <x:v>1</x:v>
      </x:c>
      <x:c r="E13" s="70" t="n">
        <x:v>25</x:v>
      </x:c>
      <x:c r="F13" s="70" t="n">
        <x:v>14</x:v>
      </x:c>
      <x:c r="G13" s="70" t="n">
        <x:v>10</x:v>
      </x:c>
      <x:c r="H13" s="71" t="n">
        <x:f>IF(OR(E13="",F13=""),"",E13*F13)</x:f>
        <x:v>350</x:v>
      </x:c>
      <x:c r="I13" s="44" t="str">
        <x:v>依照片辨識為坐姿胸推；原填 RPE 0 已更正為 RPE 10。</x:v>
      </x:c>
    </x:row>
    <x:row r="14">
      <x:c r="A14" s="39" t="n">
        <x:v>46238</x:v>
      </x:c>
      <x:c r="B14" s="34" t="str">
        <x:v>重訓</x:v>
      </x:c>
      <x:c r="C14" s="34" t="str">
        <x:v>坐姿胸推</x:v>
      </x:c>
      <x:c r="D14" s="69" t="n">
        <x:v>2</x:v>
      </x:c>
      <x:c r="E14" s="70" t="n">
        <x:v>25</x:v>
      </x:c>
      <x:c r="F14" s="70" t="n">
        <x:v>9</x:v>
      </x:c>
      <x:c r="G14" s="70" t="n">
        <x:v>10</x:v>
      </x:c>
      <x:c r="H14" s="71" t="n">
        <x:f>IF(OR(E14="",F14=""),"",E14*F14)</x:f>
        <x:v>225</x:v>
      </x:c>
      <x:c r="I14" s="44" t="str">
        <x:v>依照片辨識為坐姿胸推；原填 RPE 0 已更正為 RPE 10。</x:v>
      </x:c>
    </x:row>
    <x:row r="15">
      <x:c r="A15" s="39" t="n">
        <x:v>46238</x:v>
      </x:c>
      <x:c r="B15" s="34" t="str">
        <x:v>重訓</x:v>
      </x:c>
      <x:c r="C15" s="34" t="str">
        <x:v>坐姿胸推</x:v>
      </x:c>
      <x:c r="D15" s="69" t="n">
        <x:v>3</x:v>
      </x:c>
      <x:c r="E15" s="70" t="n">
        <x:v>20</x:v>
      </x:c>
      <x:c r="F15" s="70" t="n">
        <x:v>13</x:v>
      </x:c>
      <x:c r="G15" s="70" t="n">
        <x:v>10</x:v>
      </x:c>
      <x:c r="H15" s="71" t="n">
        <x:f>IF(OR(E15="",F15=""),"",E15*F15)</x:f>
        <x:v>260</x:v>
      </x:c>
      <x:c r="I15" s="44" t="str">
        <x:v>依照片辨識為坐姿胸推；原填 RPE 0 已更正為 RPE 10。</x:v>
      </x:c>
    </x:row>
    <x:row r="16">
      <x:c r="A16" s="39" t="n">
        <x:v>46238</x:v>
      </x:c>
      <x:c r="B16" s="34" t="str">
        <x:v>重訓</x:v>
      </x:c>
      <x:c r="C16" s="34" t="str">
        <x:v>坐姿胸推</x:v>
      </x:c>
      <x:c r="D16" s="69" t="n">
        <x:v>4</x:v>
      </x:c>
      <x:c r="E16" s="70" t="n">
        <x:v>20</x:v>
      </x:c>
      <x:c r="F16" s="70" t="n">
        <x:v>10</x:v>
      </x:c>
      <x:c r="G16" s="70" t="n">
        <x:v>10</x:v>
      </x:c>
      <x:c r="H16" s="71" t="n">
        <x:f>IF(OR(E16="",F16=""),"",E16*F16)</x:f>
        <x:v>200</x:v>
      </x:c>
      <x:c r="I16" s="44" t="str">
        <x:v>依照片辨識為坐姿胸推；原填 RPE 0 已更正為 RPE 10。</x:v>
      </x:c>
    </x:row>
    <x:row r="17">
      <x:c r="A17" s="39" t="n">
        <x:v>46238</x:v>
      </x:c>
      <x:c r="B17" s="34" t="str">
        <x:v>重訓</x:v>
      </x:c>
      <x:c r="C17" s="34" t="str">
        <x:v>腿後勾</x:v>
      </x:c>
      <x:c r="D17" s="69" t="n">
        <x:v>1</x:v>
      </x:c>
      <x:c r="E17" s="70" t="n">
        <x:v>32</x:v>
      </x:c>
      <x:c r="F17" s="70" t="n">
        <x:v>15</x:v>
      </x:c>
      <x:c r="G17" s="70" t="n">
        <x:v>5</x:v>
      </x:c>
      <x:c r="H17" s="71" t="n">
        <x:f>IF(OR(E17="",F17=""),"",E17*F17)</x:f>
        <x:v>480</x:v>
      </x:c>
      <x:c r="I17" s="44" t="str">
        <x:v>使用者確認為標準 RPE 5。</x:v>
      </x:c>
    </x:row>
    <x:row r="18">
      <x:c r="A18" s="39" t="n">
        <x:v>46238</x:v>
      </x:c>
      <x:c r="B18" s="34" t="str">
        <x:v>重訓</x:v>
      </x:c>
      <x:c r="C18" s="34" t="str">
        <x:v>腿後勾</x:v>
      </x:c>
      <x:c r="D18" s="69" t="n">
        <x:v>2</x:v>
      </x:c>
      <x:c r="E18" s="70" t="n">
        <x:v>40</x:v>
      </x:c>
      <x:c r="F18" s="70" t="n">
        <x:v>15</x:v>
      </x:c>
      <x:c r="G18" s="70" t="n">
        <x:v>9</x:v>
      </x:c>
      <x:c r="H18" s="71" t="n">
        <x:f>IF(OR(E18="",F18=""),"",E18*F18)</x:f>
        <x:v>600</x:v>
      </x:c>
      <x:c r="I18" s="44" t="str"/>
    </x:row>
    <x:row r="19">
      <x:c r="A19" s="39" t="n">
        <x:v>46238</x:v>
      </x:c>
      <x:c r="B19" s="34" t="str">
        <x:v>重訓</x:v>
      </x:c>
      <x:c r="C19" s="34" t="str">
        <x:v>腿後勾</x:v>
      </x:c>
      <x:c r="D19" s="69" t="n">
        <x:v>3</x:v>
      </x:c>
      <x:c r="E19" s="70" t="n">
        <x:v>40</x:v>
      </x:c>
      <x:c r="F19" s="70" t="n">
        <x:v>15</x:v>
      </x:c>
      <x:c r="G19" s="70" t="n">
        <x:v>10</x:v>
      </x:c>
      <x:c r="H19" s="71" t="n">
        <x:f>IF(OR(E19="",F19=""),"",E19*F19)</x:f>
        <x:v>600</x:v>
      </x:c>
      <x:c r="I19" s="44" t="str"/>
    </x:row>
    <x:row r="20">
      <x:c r="A20" s="39" t="n">
        <x:v>46238</x:v>
      </x:c>
      <x:c r="B20" s="34" t="str">
        <x:v>重訓</x:v>
      </x:c>
      <x:c r="C20" s="34" t="str">
        <x:v>腿後勾</x:v>
      </x:c>
      <x:c r="D20" s="69" t="n">
        <x:v>4</x:v>
      </x:c>
      <x:c r="E20" s="70" t="n">
        <x:v>40</x:v>
      </x:c>
      <x:c r="F20" s="70" t="n">
        <x:v>17</x:v>
      </x:c>
      <x:c r="G20" s="70" t="n">
        <x:v>10</x:v>
      </x:c>
      <x:c r="H20" s="71" t="n">
        <x:f>IF(OR(E20="",F20=""),"",E20*F20)</x:f>
        <x:v>680</x:v>
      </x:c>
      <x:c r="I20" s="44" t="str">
        <x:v>原填 RPE 0，使用者更正為 RPE 10。</x:v>
      </x:c>
    </x:row>
    <x:row r="21">
      <x:c r="A21" s="39" t="n">
        <x:v>46238</x:v>
      </x:c>
      <x:c r="B21" s="34" t="str">
        <x:v>重訓</x:v>
      </x:c>
      <x:c r="C21" s="34" t="str">
        <x:v>腿後勾</x:v>
      </x:c>
      <x:c r="D21" s="69" t="n">
        <x:v>5</x:v>
      </x:c>
      <x:c r="E21" s="70" t="n">
        <x:v>32</x:v>
      </x:c>
      <x:c r="F21" s="70" t="n">
        <x:v>20</x:v>
      </x:c>
      <x:c r="G21" s="70" t="n">
        <x:v>10</x:v>
      </x:c>
      <x:c r="H21" s="71" t="n">
        <x:f>IF(OR(E21="",F21=""),"",E21*F21)</x:f>
        <x:v>640</x:v>
      </x:c>
      <x:c r="I21" s="44"/>
    </x:row>
    <x:row r="22">
      <x:c r="A22" s="39" t="n">
        <x:v>46242</x:v>
      </x:c>
      <x:c r="B22" s="34" t="str">
        <x:v>重訓</x:v>
      </x:c>
      <x:c r="C22" s="34" t="str">
        <x:v>上斜胸推</x:v>
      </x:c>
      <x:c r="D22" s="69" t="n">
        <x:v>1</x:v>
      </x:c>
      <x:c r="E22" s="70" t="n">
        <x:v>25</x:v>
      </x:c>
      <x:c r="F22" s="70" t="n">
        <x:v>15</x:v>
      </x:c>
      <x:c r="G22" s="70" t="n">
        <x:v>8</x:v>
      </x:c>
      <x:c r="H22" s="71" t="n">
        <x:f>E22*F22</x:f>
        <x:v>375</x:v>
      </x:c>
      <x:c r="I22" s="44"/>
    </x:row>
    <x:row r="23">
      <x:c r="A23" s="39" t="n">
        <x:v>46242</x:v>
      </x:c>
      <x:c r="B23" s="34" t="str">
        <x:v>重訓</x:v>
      </x:c>
      <x:c r="C23" s="34" t="str">
        <x:v>上斜胸推</x:v>
      </x:c>
      <x:c r="D23" s="69" t="n">
        <x:v>2</x:v>
      </x:c>
      <x:c r="E23" s="70" t="n">
        <x:v>25</x:v>
      </x:c>
      <x:c r="F23" s="70" t="n">
        <x:v>14</x:v>
      </x:c>
      <x:c r="G23" s="70" t="n">
        <x:v>10</x:v>
      </x:c>
      <x:c r="H23" s="71" t="n">
        <x:f>E23*F23</x:f>
        <x:v>350</x:v>
      </x:c>
      <x:c r="I23" s="44"/>
    </x:row>
    <x:row r="24">
      <x:c r="A24" s="39" t="n">
        <x:v>46242</x:v>
      </x:c>
      <x:c r="B24" s="34" t="str">
        <x:v>重訓</x:v>
      </x:c>
      <x:c r="C24" s="34" t="str">
        <x:v>上斜胸推</x:v>
      </x:c>
      <x:c r="D24" s="69" t="n">
        <x:v>3</x:v>
      </x:c>
      <x:c r="E24" s="70" t="n">
        <x:v>25</x:v>
      </x:c>
      <x:c r="F24" s="70" t="n">
        <x:v>10</x:v>
      </x:c>
      <x:c r="G24" s="70" t="n">
        <x:v>10</x:v>
      </x:c>
      <x:c r="H24" s="71" t="n">
        <x:f>E24*F24</x:f>
        <x:v>250</x:v>
      </x:c>
      <x:c r="I24" s="44"/>
    </x:row>
    <x:row r="25">
      <x:c r="A25" s="39" t="n">
        <x:v>46242</x:v>
      </x:c>
      <x:c r="B25" s="34" t="str">
        <x:v>重訓</x:v>
      </x:c>
      <x:c r="C25" s="34" t="str">
        <x:v>上斜胸推</x:v>
      </x:c>
      <x:c r="D25" s="69" t="n">
        <x:v>4</x:v>
      </x:c>
      <x:c r="E25" s="70" t="n">
        <x:v>20</x:v>
      </x:c>
      <x:c r="F25" s="70" t="n">
        <x:v>10</x:v>
      </x:c>
      <x:c r="G25" s="70" t="n">
        <x:v>10</x:v>
      </x:c>
      <x:c r="H25" s="71" t="n">
        <x:f>E25*F25</x:f>
        <x:v>200</x:v>
      </x:c>
      <x:c r="I25" s="44"/>
    </x:row>
    <x:row r="26">
      <x:c r="A26" s="39" t="n">
        <x:v>46242</x:v>
      </x:c>
      <x:c r="B26" s="34" t="str">
        <x:v>重訓</x:v>
      </x:c>
      <x:c r="C26" s="34" t="str">
        <x:v>臀推機</x:v>
      </x:c>
      <x:c r="D26" s="69" t="n">
        <x:v>1</x:v>
      </x:c>
      <x:c r="E26" s="70" t="n">
        <x:v>20</x:v>
      </x:c>
      <x:c r="F26" s="70" t="n">
        <x:v>13</x:v>
      </x:c>
      <x:c r="G26" s="70" t="n">
        <x:v>4</x:v>
      </x:c>
      <x:c r="H26" s="71" t="n">
        <x:f>E26*F26</x:f>
        <x:v>260</x:v>
      </x:c>
      <x:c r="I26" s="44"/>
    </x:row>
    <x:row r="27">
      <x:c r="A27" s="39" t="n">
        <x:v>46242</x:v>
      </x:c>
      <x:c r="B27" s="34" t="str">
        <x:v>重訓</x:v>
      </x:c>
      <x:c r="C27" s="34" t="str">
        <x:v>臀推機</x:v>
      </x:c>
      <x:c r="D27" s="69" t="n">
        <x:v>2</x:v>
      </x:c>
      <x:c r="E27" s="70" t="n">
        <x:v>20</x:v>
      </x:c>
      <x:c r="F27" s="70" t="n">
        <x:v>15</x:v>
      </x:c>
      <x:c r="G27" s="70" t="n">
        <x:v>8</x:v>
      </x:c>
      <x:c r="H27" s="71" t="n">
        <x:f>E27*F27</x:f>
        <x:v>300</x:v>
      </x:c>
      <x:c r="I27" s="44"/>
    </x:row>
    <x:row r="28">
      <x:c r="A28" s="39" t="n">
        <x:v>46242</x:v>
      </x:c>
      <x:c r="B28" s="34" t="str">
        <x:v>重訓</x:v>
      </x:c>
      <x:c r="C28" s="34" t="str">
        <x:v>臀推機</x:v>
      </x:c>
      <x:c r="D28" s="69" t="n">
        <x:v>3</x:v>
      </x:c>
      <x:c r="E28" s="70" t="n">
        <x:v>20</x:v>
      </x:c>
      <x:c r="F28" s="70" t="n">
        <x:v>15</x:v>
      </x:c>
      <x:c r="G28" s="70" t="n">
        <x:v>8</x:v>
      </x:c>
      <x:c r="H28" s="71" t="n">
        <x:f>E28*F28</x:f>
        <x:v>300</x:v>
      </x:c>
      <x:c r="I28" s="44"/>
    </x:row>
    <x:row r="29">
      <x:c r="A29" s="39" t="n">
        <x:v>46242</x:v>
      </x:c>
      <x:c r="B29" s="34" t="str">
        <x:v>重訓</x:v>
      </x:c>
      <x:c r="C29" s="34" t="str">
        <x:v>臀推機</x:v>
      </x:c>
      <x:c r="D29" s="69" t="n">
        <x:v>4</x:v>
      </x:c>
      <x:c r="E29" s="70" t="n">
        <x:v>20</x:v>
      </x:c>
      <x:c r="F29" s="70" t="n">
        <x:v>15</x:v>
      </x:c>
      <x:c r="G29" s="70" t="n">
        <x:v>9</x:v>
      </x:c>
      <x:c r="H29" s="71" t="n">
        <x:f>E29*F29</x:f>
        <x:v>300</x:v>
      </x:c>
      <x:c r="I29" s="44"/>
    </x:row>
    <x:row r="30">
      <x:c r="A30" s="39" t="n">
        <x:v>46242</x:v>
      </x:c>
      <x:c r="B30" s="34" t="str">
        <x:v>重訓</x:v>
      </x:c>
      <x:c r="C30" s="34" t="str">
        <x:v>滑輪下拉</x:v>
      </x:c>
      <x:c r="D30" s="69" t="n">
        <x:v>1</x:v>
      </x:c>
      <x:c r="E30" s="70" t="n">
        <x:v>37.5</x:v>
      </x:c>
      <x:c r="F30" s="70" t="n">
        <x:v>15</x:v>
      </x:c>
      <x:c r="G30" s="70" t="n">
        <x:v>7</x:v>
      </x:c>
      <x:c r="H30" s="71" t="n">
        <x:f>E30*F30</x:f>
        <x:v>562.5</x:v>
      </x:c>
      <x:c r="I30" s="44"/>
    </x:row>
    <x:row r="31">
      <x:c r="A31" s="39" t="n">
        <x:v>46242</x:v>
      </x:c>
      <x:c r="B31" s="34" t="str">
        <x:v>重訓</x:v>
      </x:c>
      <x:c r="C31" s="34" t="str">
        <x:v>滑輪下拉</x:v>
      </x:c>
      <x:c r="D31" s="69" t="n">
        <x:v>2</x:v>
      </x:c>
      <x:c r="E31" s="70" t="n">
        <x:v>37.5</x:v>
      </x:c>
      <x:c r="F31" s="70" t="n">
        <x:v>12</x:v>
      </x:c>
      <x:c r="G31" s="70" t="n">
        <x:v>10</x:v>
      </x:c>
      <x:c r="H31" s="71" t="n">
        <x:f>E31*F31</x:f>
        <x:v>450</x:v>
      </x:c>
      <x:c r="I31" s="44"/>
    </x:row>
    <x:row r="32">
      <x:c r="A32" s="39" t="n">
        <x:v>46242</x:v>
      </x:c>
      <x:c r="B32" s="34" t="str">
        <x:v>重訓</x:v>
      </x:c>
      <x:c r="C32" s="34" t="str">
        <x:v>滑輪下拉</x:v>
      </x:c>
      <x:c r="D32" s="69" t="n">
        <x:v>3</x:v>
      </x:c>
      <x:c r="E32" s="70" t="n">
        <x:v>30</x:v>
      </x:c>
      <x:c r="F32" s="70" t="n">
        <x:v>16</x:v>
      </x:c>
      <x:c r="G32" s="70" t="n">
        <x:v>8</x:v>
      </x:c>
      <x:c r="H32" s="71" t="n">
        <x:f>E32*F32</x:f>
        <x:v>480</x:v>
      </x:c>
      <x:c r="I32" s="44"/>
    </x:row>
    <x:row r="33">
      <x:c r="A33" s="39" t="n">
        <x:v>46242</x:v>
      </x:c>
      <x:c r="B33" s="34" t="str">
        <x:v>重訓</x:v>
      </x:c>
      <x:c r="C33" s="34" t="str">
        <x:v>滑輪下拉</x:v>
      </x:c>
      <x:c r="D33" s="69" t="n">
        <x:v>4</x:v>
      </x:c>
      <x:c r="E33" s="70" t="n">
        <x:v>30</x:v>
      </x:c>
      <x:c r="F33" s="70" t="n">
        <x:v>14</x:v>
      </x:c>
      <x:c r="G33" s="70" t="n">
        <x:v>9</x:v>
      </x:c>
      <x:c r="H33" s="71" t="n">
        <x:f>E33*F33</x:f>
        <x:v>420</x:v>
      </x:c>
      <x:c r="I33" s="44"/>
    </x:row>
    <x:row r="34">
      <x:c r="A34" s="39" t="n">
        <x:v>46242</x:v>
      </x:c>
      <x:c r="B34" s="34" t="str">
        <x:v>重訓</x:v>
      </x:c>
      <x:c r="C34" s="34" t="str">
        <x:v>腿內收</x:v>
      </x:c>
      <x:c r="D34" s="69" t="n">
        <x:v>1</x:v>
      </x:c>
      <x:c r="E34" s="70" t="n">
        <x:v>37.5</x:v>
      </x:c>
      <x:c r="F34" s="70" t="n">
        <x:v>13</x:v>
      </x:c>
      <x:c r="G34" s="70" t="n">
        <x:v>7</x:v>
      </x:c>
      <x:c r="H34" s="71" t="n">
        <x:f>E34*F34</x:f>
        <x:v>487.5</x:v>
      </x:c>
      <x:c r="I34" s="44"/>
    </x:row>
    <x:row r="35">
      <x:c r="A35" s="39" t="n">
        <x:v>46242</x:v>
      </x:c>
      <x:c r="B35" s="34" t="str">
        <x:v>重訓</x:v>
      </x:c>
      <x:c r="C35" s="34" t="str">
        <x:v>腿內收</x:v>
      </x:c>
      <x:c r="D35" s="69" t="n">
        <x:v>2</x:v>
      </x:c>
      <x:c r="E35" s="70" t="n">
        <x:v>37.5</x:v>
      </x:c>
      <x:c r="F35" s="70" t="n">
        <x:v>13</x:v>
      </x:c>
      <x:c r="G35" s="70" t="n">
        <x:v>7</x:v>
      </x:c>
      <x:c r="H35" s="71" t="n">
        <x:f>E35*F35</x:f>
        <x:v>487.5</x:v>
      </x:c>
      <x:c r="I35" s="44"/>
    </x:row>
    <x:row r="36">
      <x:c r="A36" s="39" t="n">
        <x:v>46242</x:v>
      </x:c>
      <x:c r="B36" s="34" t="str">
        <x:v>重訓</x:v>
      </x:c>
      <x:c r="C36" s="34" t="str">
        <x:v>腿外展</x:v>
      </x:c>
      <x:c r="D36" s="69" t="n">
        <x:v>1</x:v>
      </x:c>
      <x:c r="E36" s="70" t="n">
        <x:v>52.5</x:v>
      </x:c>
      <x:c r="F36" s="70" t="n">
        <x:v>10</x:v>
      </x:c>
      <x:c r="G36" s="70" t="n">
        <x:v>6</x:v>
      </x:c>
      <x:c r="H36" s="71" t="n">
        <x:f>E36*F36</x:f>
        <x:v>525</x:v>
      </x:c>
      <x:c r="I36" s="44"/>
    </x:row>
    <x:row r="37">
      <x:c r="A37" s="39" t="n">
        <x:v>46242</x:v>
      </x:c>
      <x:c r="B37" s="34" t="str">
        <x:v>重訓</x:v>
      </x:c>
      <x:c r="C37" s="34" t="str">
        <x:v>腿外展</x:v>
      </x:c>
      <x:c r="D37" s="69" t="n">
        <x:v>2</x:v>
      </x:c>
      <x:c r="E37" s="70" t="n">
        <x:v>52.5</x:v>
      </x:c>
      <x:c r="F37" s="70" t="n">
        <x:v>13</x:v>
      </x:c>
      <x:c r="G37" s="70" t="n">
        <x:v>8</x:v>
      </x:c>
      <x:c r="H37" s="71" t="n">
        <x:f>E37*F37</x:f>
        <x:v>682.5</x:v>
      </x:c>
      <x:c r="I37" s="44"/>
    </x:row>
    <x:row r="38">
      <x:c r="A38" s="39"/>
      <x:c r="B38" s="34"/>
      <x:c r="C38" s="34"/>
      <x:c r="D38" s="69"/>
      <x:c r="E38" s="70"/>
      <x:c r="F38" s="70"/>
      <x:c r="G38" s="70"/>
      <x:c r="H38" s="71" t="str">
        <x:f>IF(OR(E38="",F38=""),"",E38*F38)</x:f>
      </x:c>
      <x:c r="I38" s="44"/>
    </x:row>
    <x:row r="39">
      <x:c r="A39" s="39"/>
      <x:c r="B39" s="34"/>
      <x:c r="C39" s="34"/>
      <x:c r="D39" s="69"/>
      <x:c r="E39" s="70"/>
      <x:c r="F39" s="70"/>
      <x:c r="G39" s="70"/>
      <x:c r="H39" s="71" t="str">
        <x:f>IF(OR(E39="",F39=""),"",E39*F39)</x:f>
      </x:c>
      <x:c r="I39" s="44"/>
    </x:row>
    <x:row r="40">
      <x:c r="A40" s="39"/>
      <x:c r="B40" s="34"/>
      <x:c r="C40" s="34"/>
      <x:c r="D40" s="69"/>
      <x:c r="E40" s="70"/>
      <x:c r="F40" s="70"/>
      <x:c r="G40" s="70"/>
      <x:c r="H40" s="71" t="str">
        <x:f>IF(OR(E40="",F40=""),"",E40*F40)</x:f>
      </x:c>
      <x:c r="I40" s="44"/>
    </x:row>
    <x:row r="41">
      <x:c r="A41" s="39"/>
      <x:c r="B41" s="34"/>
      <x:c r="C41" s="34"/>
      <x:c r="D41" s="69"/>
      <x:c r="E41" s="70"/>
      <x:c r="F41" s="70"/>
      <x:c r="G41" s="70"/>
      <x:c r="H41" s="71" t="str">
        <x:f>IF(OR(E41="",F41=""),"",E41*F41)</x:f>
      </x:c>
      <x:c r="I41" s="44"/>
    </x:row>
    <x:row r="42">
      <x:c r="A42" s="39"/>
      <x:c r="B42" s="34"/>
      <x:c r="C42" s="34"/>
      <x:c r="D42" s="69"/>
      <x:c r="E42" s="70"/>
      <x:c r="F42" s="70"/>
      <x:c r="G42" s="70"/>
      <x:c r="H42" s="71" t="str">
        <x:f>IF(OR(E42="",F42=""),"",E42*F42)</x:f>
      </x:c>
      <x:c r="I42" s="44"/>
    </x:row>
    <x:row r="43">
      <x:c r="A43" s="39"/>
      <x:c r="B43" s="34"/>
      <x:c r="C43" s="34"/>
      <x:c r="D43" s="69"/>
      <x:c r="E43" s="70"/>
      <x:c r="F43" s="70"/>
      <x:c r="G43" s="70"/>
      <x:c r="H43" s="71" t="str">
        <x:f>IF(OR(E43="",F43=""),"",E43*F43)</x:f>
      </x:c>
      <x:c r="I43" s="44"/>
    </x:row>
    <x:row r="44">
      <x:c r="A44" s="39"/>
      <x:c r="B44" s="34"/>
      <x:c r="C44" s="34"/>
      <x:c r="D44" s="69"/>
      <x:c r="E44" s="70"/>
      <x:c r="F44" s="70"/>
      <x:c r="G44" s="70"/>
      <x:c r="H44" s="71" t="str">
        <x:f>IF(OR(E44="",F44=""),"",E44*F44)</x:f>
      </x:c>
      <x:c r="I44" s="44"/>
    </x:row>
    <x:row r="45">
      <x:c r="A45" s="39"/>
      <x:c r="B45" s="34"/>
      <x:c r="C45" s="34"/>
      <x:c r="D45" s="69"/>
      <x:c r="E45" s="70"/>
      <x:c r="F45" s="70"/>
      <x:c r="G45" s="70"/>
      <x:c r="H45" s="71" t="str">
        <x:f>IF(OR(E45="",F45=""),"",E45*F45)</x:f>
      </x:c>
      <x:c r="I45" s="44"/>
    </x:row>
    <x:row r="46">
      <x:c r="A46" s="39"/>
      <x:c r="B46" s="34"/>
      <x:c r="C46" s="34"/>
      <x:c r="D46" s="69"/>
      <x:c r="E46" s="70"/>
      <x:c r="F46" s="70"/>
      <x:c r="G46" s="70"/>
      <x:c r="H46" s="71" t="str">
        <x:f>IF(OR(E46="",F46=""),"",E46*F46)</x:f>
      </x:c>
      <x:c r="I46" s="44"/>
    </x:row>
    <x:row r="47">
      <x:c r="A47" s="39"/>
      <x:c r="B47" s="34"/>
      <x:c r="C47" s="34"/>
      <x:c r="D47" s="69"/>
      <x:c r="E47" s="70"/>
      <x:c r="F47" s="70"/>
      <x:c r="G47" s="70"/>
      <x:c r="H47" s="71" t="str">
        <x:f>IF(OR(E47="",F47=""),"",E47*F47)</x:f>
      </x:c>
      <x:c r="I47" s="44"/>
    </x:row>
    <x:row r="48">
      <x:c r="A48" s="39"/>
      <x:c r="B48" s="34"/>
      <x:c r="C48" s="34"/>
      <x:c r="D48" s="69"/>
      <x:c r="E48" s="70"/>
      <x:c r="F48" s="70"/>
      <x:c r="G48" s="70"/>
      <x:c r="H48" s="71" t="str">
        <x:f>IF(OR(E48="",F48=""),"",E48*F48)</x:f>
      </x:c>
      <x:c r="I48" s="44"/>
    </x:row>
    <x:row r="49">
      <x:c r="A49" s="39"/>
      <x:c r="B49" s="34"/>
      <x:c r="C49" s="34"/>
      <x:c r="D49" s="69"/>
      <x:c r="E49" s="70"/>
      <x:c r="F49" s="70"/>
      <x:c r="G49" s="70"/>
      <x:c r="H49" s="71" t="str">
        <x:f>IF(OR(E49="",F49=""),"",E49*F49)</x:f>
      </x:c>
      <x:c r="I49" s="44"/>
    </x:row>
    <x:row r="50">
      <x:c r="A50" s="39"/>
      <x:c r="B50" s="34"/>
      <x:c r="C50" s="34"/>
      <x:c r="D50" s="69"/>
      <x:c r="E50" s="70"/>
      <x:c r="F50" s="70"/>
      <x:c r="G50" s="70"/>
      <x:c r="H50" s="71" t="str">
        <x:f>IF(OR(E50="",F50=""),"",E50*F50)</x:f>
      </x:c>
      <x:c r="I50" s="44"/>
    </x:row>
    <x:row r="51">
      <x:c r="A51" s="39"/>
      <x:c r="B51" s="34"/>
      <x:c r="C51" s="34"/>
      <x:c r="D51" s="69"/>
      <x:c r="E51" s="70"/>
      <x:c r="F51" s="70"/>
      <x:c r="G51" s="70"/>
      <x:c r="H51" s="71" t="str">
        <x:f>IF(OR(E51="",F51=""),"",E51*F51)</x:f>
      </x:c>
      <x:c r="I51" s="44"/>
    </x:row>
    <x:row r="52">
      <x:c r="A52" s="39"/>
      <x:c r="B52" s="34"/>
      <x:c r="C52" s="34"/>
      <x:c r="D52" s="69"/>
      <x:c r="E52" s="70"/>
      <x:c r="F52" s="70"/>
      <x:c r="G52" s="70"/>
      <x:c r="H52" s="71" t="str">
        <x:f>IF(OR(E52="",F52=""),"",E52*F52)</x:f>
      </x:c>
      <x:c r="I52" s="44"/>
    </x:row>
    <x:row r="53">
      <x:c r="A53" s="39"/>
      <x:c r="B53" s="34"/>
      <x:c r="C53" s="34"/>
      <x:c r="D53" s="69"/>
      <x:c r="E53" s="70"/>
      <x:c r="F53" s="70"/>
      <x:c r="G53" s="70"/>
      <x:c r="H53" s="71" t="str">
        <x:f>IF(OR(E53="",F53=""),"",E53*F53)</x:f>
      </x:c>
      <x:c r="I53" s="44"/>
    </x:row>
    <x:row r="54">
      <x:c r="A54" s="39"/>
      <x:c r="B54" s="34"/>
      <x:c r="C54" s="34"/>
      <x:c r="D54" s="69"/>
      <x:c r="E54" s="70"/>
      <x:c r="F54" s="70"/>
      <x:c r="G54" s="70"/>
      <x:c r="H54" s="71" t="str">
        <x:f>IF(OR(E54="",F54=""),"",E54*F54)</x:f>
      </x:c>
      <x:c r="I54" s="44"/>
    </x:row>
    <x:row r="55">
      <x:c r="A55" s="39"/>
      <x:c r="B55" s="34"/>
      <x:c r="C55" s="34"/>
      <x:c r="D55" s="69"/>
      <x:c r="E55" s="70"/>
      <x:c r="F55" s="70"/>
      <x:c r="G55" s="70"/>
      <x:c r="H55" s="71" t="str">
        <x:f>IF(OR(E55="",F55=""),"",E55*F55)</x:f>
      </x:c>
      <x:c r="I55" s="44"/>
    </x:row>
    <x:row r="56">
      <x:c r="A56" s="39"/>
      <x:c r="B56" s="34"/>
      <x:c r="C56" s="34"/>
      <x:c r="D56" s="69"/>
      <x:c r="E56" s="70"/>
      <x:c r="F56" s="70"/>
      <x:c r="G56" s="70"/>
      <x:c r="H56" s="71" t="str">
        <x:f>IF(OR(E56="",F56=""),"",E56*F56)</x:f>
      </x:c>
      <x:c r="I56" s="44"/>
    </x:row>
    <x:row r="57">
      <x:c r="A57" s="39"/>
      <x:c r="B57" s="34"/>
      <x:c r="C57" s="34"/>
      <x:c r="D57" s="69"/>
      <x:c r="E57" s="70"/>
      <x:c r="F57" s="70"/>
      <x:c r="G57" s="70"/>
      <x:c r="H57" s="71" t="str">
        <x:f>IF(OR(E57="",F57=""),"",E57*F57)</x:f>
      </x:c>
      <x:c r="I57" s="44"/>
    </x:row>
    <x:row r="58">
      <x:c r="A58" s="39"/>
      <x:c r="B58" s="34"/>
      <x:c r="C58" s="34"/>
      <x:c r="D58" s="69"/>
      <x:c r="E58" s="70"/>
      <x:c r="F58" s="70"/>
      <x:c r="G58" s="70"/>
      <x:c r="H58" s="71" t="str">
        <x:f>IF(OR(E58="",F58=""),"",E58*F58)</x:f>
      </x:c>
      <x:c r="I58" s="44"/>
    </x:row>
    <x:row r="59">
      <x:c r="A59" s="39"/>
      <x:c r="B59" s="34"/>
      <x:c r="C59" s="34"/>
      <x:c r="D59" s="69"/>
      <x:c r="E59" s="70"/>
      <x:c r="F59" s="70"/>
      <x:c r="G59" s="70"/>
      <x:c r="H59" s="71" t="str">
        <x:f>IF(OR(E59="",F59=""),"",E59*F59)</x:f>
      </x:c>
      <x:c r="I59" s="44"/>
    </x:row>
    <x:row r="60">
      <x:c r="A60" s="39"/>
      <x:c r="B60" s="34"/>
      <x:c r="C60" s="34"/>
      <x:c r="D60" s="69"/>
      <x:c r="E60" s="70"/>
      <x:c r="F60" s="70"/>
      <x:c r="G60" s="70"/>
      <x:c r="H60" s="71" t="str">
        <x:f>IF(OR(E60="",F60=""),"",E60*F60)</x:f>
      </x:c>
      <x:c r="I60" s="44"/>
    </x:row>
    <x:row r="61">
      <x:c r="A61" s="39"/>
      <x:c r="B61" s="34"/>
      <x:c r="C61" s="34"/>
      <x:c r="D61" s="69"/>
      <x:c r="E61" s="70"/>
      <x:c r="F61" s="70"/>
      <x:c r="G61" s="70"/>
      <x:c r="H61" s="71" t="str">
        <x:f>IF(OR(E61="",F61=""),"",E61*F61)</x:f>
      </x:c>
      <x:c r="I61" s="44"/>
    </x:row>
    <x:row r="62">
      <x:c r="A62" s="39"/>
      <x:c r="B62" s="34"/>
      <x:c r="C62" s="34"/>
      <x:c r="D62" s="69"/>
      <x:c r="E62" s="70"/>
      <x:c r="F62" s="70"/>
      <x:c r="G62" s="70"/>
      <x:c r="H62" s="71" t="str">
        <x:f>IF(OR(E62="",F62=""),"",E62*F62)</x:f>
      </x:c>
      <x:c r="I62" s="44"/>
    </x:row>
    <x:row r="63">
      <x:c r="A63" s="39"/>
      <x:c r="B63" s="34"/>
      <x:c r="C63" s="34"/>
      <x:c r="D63" s="69"/>
      <x:c r="E63" s="70"/>
      <x:c r="F63" s="70"/>
      <x:c r="G63" s="70"/>
      <x:c r="H63" s="71" t="str">
        <x:f>IF(OR(E63="",F63=""),"",E63*F63)</x:f>
      </x:c>
      <x:c r="I63" s="44"/>
    </x:row>
    <x:row r="64">
      <x:c r="A64" s="39"/>
      <x:c r="B64" s="34"/>
      <x:c r="C64" s="34"/>
      <x:c r="D64" s="69"/>
      <x:c r="E64" s="70"/>
      <x:c r="F64" s="70"/>
      <x:c r="G64" s="70"/>
      <x:c r="H64" s="71" t="str">
        <x:f>IF(OR(E64="",F64=""),"",E64*F64)</x:f>
      </x:c>
      <x:c r="I64" s="44"/>
    </x:row>
    <x:row r="65">
      <x:c r="A65" s="39"/>
      <x:c r="B65" s="34"/>
      <x:c r="C65" s="34"/>
      <x:c r="D65" s="69"/>
      <x:c r="E65" s="70"/>
      <x:c r="F65" s="70"/>
      <x:c r="G65" s="70"/>
      <x:c r="H65" s="71" t="str">
        <x:f>IF(OR(E65="",F65=""),"",E65*F65)</x:f>
      </x:c>
      <x:c r="I65" s="44"/>
    </x:row>
    <x:row r="66">
      <x:c r="A66" s="39"/>
      <x:c r="B66" s="34"/>
      <x:c r="C66" s="34"/>
      <x:c r="D66" s="69"/>
      <x:c r="E66" s="70"/>
      <x:c r="F66" s="70"/>
      <x:c r="G66" s="70"/>
      <x:c r="H66" s="71" t="str">
        <x:f>IF(OR(E66="",F66=""),"",E66*F66)</x:f>
      </x:c>
      <x:c r="I66" s="44"/>
    </x:row>
    <x:row r="67">
      <x:c r="A67" s="39"/>
      <x:c r="B67" s="34"/>
      <x:c r="C67" s="34"/>
      <x:c r="D67" s="69"/>
      <x:c r="E67" s="70"/>
      <x:c r="F67" s="70"/>
      <x:c r="G67" s="70"/>
      <x:c r="H67" s="71" t="str">
        <x:f>IF(OR(E67="",F67=""),"",E67*F67)</x:f>
      </x:c>
      <x:c r="I67" s="44"/>
    </x:row>
    <x:row r="68">
      <x:c r="A68" s="39"/>
      <x:c r="B68" s="34"/>
      <x:c r="C68" s="34"/>
      <x:c r="D68" s="69"/>
      <x:c r="E68" s="70"/>
      <x:c r="F68" s="70"/>
      <x:c r="G68" s="70"/>
      <x:c r="H68" s="71" t="str">
        <x:f>IF(OR(E68="",F68=""),"",E68*F68)</x:f>
      </x:c>
      <x:c r="I68" s="44"/>
    </x:row>
    <x:row r="69">
      <x:c r="A69" s="39"/>
      <x:c r="B69" s="34"/>
      <x:c r="C69" s="34"/>
      <x:c r="D69" s="69"/>
      <x:c r="E69" s="70"/>
      <x:c r="F69" s="70"/>
      <x:c r="G69" s="70"/>
      <x:c r="H69" s="71" t="str">
        <x:f>IF(OR(E69="",F69=""),"",E69*F69)</x:f>
      </x:c>
      <x:c r="I69" s="44"/>
    </x:row>
    <x:row r="70">
      <x:c r="A70" s="39"/>
      <x:c r="B70" s="34"/>
      <x:c r="C70" s="34"/>
      <x:c r="D70" s="69"/>
      <x:c r="E70" s="70"/>
      <x:c r="F70" s="70"/>
      <x:c r="G70" s="70"/>
      <x:c r="H70" s="71" t="str">
        <x:f>IF(OR(E70="",F70=""),"",E70*F70)</x:f>
      </x:c>
      <x:c r="I70" s="44"/>
    </x:row>
    <x:row r="71">
      <x:c r="A71" s="39"/>
      <x:c r="B71" s="34"/>
      <x:c r="C71" s="34"/>
      <x:c r="D71" s="69"/>
      <x:c r="E71" s="70"/>
      <x:c r="F71" s="70"/>
      <x:c r="G71" s="70"/>
      <x:c r="H71" s="71" t="str">
        <x:f>IF(OR(E71="",F71=""),"",E71*F71)</x:f>
      </x:c>
      <x:c r="I71" s="44"/>
    </x:row>
    <x:row r="72">
      <x:c r="A72" s="39"/>
      <x:c r="B72" s="34"/>
      <x:c r="C72" s="34"/>
      <x:c r="D72" s="69"/>
      <x:c r="E72" s="70"/>
      <x:c r="F72" s="70"/>
      <x:c r="G72" s="70"/>
      <x:c r="H72" s="71" t="str">
        <x:f>IF(OR(E72="",F72=""),"",E72*F72)</x:f>
      </x:c>
      <x:c r="I72" s="44"/>
    </x:row>
    <x:row r="73">
      <x:c r="A73" s="39"/>
      <x:c r="B73" s="34"/>
      <x:c r="C73" s="34"/>
      <x:c r="D73" s="69"/>
      <x:c r="E73" s="70"/>
      <x:c r="F73" s="70"/>
      <x:c r="G73" s="70"/>
      <x:c r="H73" s="71" t="str">
        <x:f>IF(OR(E73="",F73=""),"",E73*F73)</x:f>
      </x:c>
      <x:c r="I73" s="44"/>
    </x:row>
    <x:row r="74">
      <x:c r="A74" s="39"/>
      <x:c r="B74" s="34"/>
      <x:c r="C74" s="34"/>
      <x:c r="D74" s="69"/>
      <x:c r="E74" s="70"/>
      <x:c r="F74" s="70"/>
      <x:c r="G74" s="70"/>
      <x:c r="H74" s="71" t="str">
        <x:f>IF(OR(E74="",F74=""),"",E74*F74)</x:f>
      </x:c>
      <x:c r="I74" s="44"/>
    </x:row>
    <x:row r="75">
      <x:c r="A75" s="39"/>
      <x:c r="B75" s="34"/>
      <x:c r="C75" s="34"/>
      <x:c r="D75" s="69"/>
      <x:c r="E75" s="70"/>
      <x:c r="F75" s="70"/>
      <x:c r="G75" s="70"/>
      <x:c r="H75" s="71" t="str">
        <x:f>IF(OR(E75="",F75=""),"",E75*F75)</x:f>
      </x:c>
      <x:c r="I75" s="44"/>
    </x:row>
    <x:row r="76">
      <x:c r="A76" s="39"/>
      <x:c r="B76" s="34"/>
      <x:c r="C76" s="34"/>
      <x:c r="D76" s="69"/>
      <x:c r="E76" s="70"/>
      <x:c r="F76" s="70"/>
      <x:c r="G76" s="70"/>
      <x:c r="H76" s="71" t="str">
        <x:f>IF(OR(E76="",F76=""),"",E76*F76)</x:f>
      </x:c>
      <x:c r="I76" s="44"/>
    </x:row>
    <x:row r="77">
      <x:c r="A77" s="39"/>
      <x:c r="B77" s="34"/>
      <x:c r="C77" s="34"/>
      <x:c r="D77" s="69"/>
      <x:c r="E77" s="70"/>
      <x:c r="F77" s="70"/>
      <x:c r="G77" s="70"/>
      <x:c r="H77" s="71" t="str">
        <x:f>IF(OR(E77="",F77=""),"",E77*F77)</x:f>
      </x:c>
      <x:c r="I77" s="44"/>
    </x:row>
    <x:row r="78">
      <x:c r="A78" s="39"/>
      <x:c r="B78" s="34"/>
      <x:c r="C78" s="34"/>
      <x:c r="D78" s="69"/>
      <x:c r="E78" s="70"/>
      <x:c r="F78" s="70"/>
      <x:c r="G78" s="70"/>
      <x:c r="H78" s="71" t="str">
        <x:f>IF(OR(E78="",F78=""),"",E78*F78)</x:f>
      </x:c>
      <x:c r="I78" s="44"/>
    </x:row>
    <x:row r="79">
      <x:c r="A79" s="39"/>
      <x:c r="B79" s="34"/>
      <x:c r="C79" s="34"/>
      <x:c r="D79" s="69"/>
      <x:c r="E79" s="70"/>
      <x:c r="F79" s="70"/>
      <x:c r="G79" s="70"/>
      <x:c r="H79" s="71" t="str">
        <x:f>IF(OR(E79="",F79=""),"",E79*F79)</x:f>
      </x:c>
      <x:c r="I79" s="44"/>
    </x:row>
    <x:row r="80">
      <x:c r="A80" s="39"/>
      <x:c r="B80" s="34"/>
      <x:c r="C80" s="34"/>
      <x:c r="D80" s="69"/>
      <x:c r="E80" s="70"/>
      <x:c r="F80" s="70"/>
      <x:c r="G80" s="70"/>
      <x:c r="H80" s="71" t="str">
        <x:f>IF(OR(E80="",F80=""),"",E80*F80)</x:f>
      </x:c>
      <x:c r="I80" s="44"/>
    </x:row>
    <x:row r="81">
      <x:c r="A81" s="39"/>
      <x:c r="B81" s="34"/>
      <x:c r="C81" s="34"/>
      <x:c r="D81" s="69"/>
      <x:c r="E81" s="70"/>
      <x:c r="F81" s="70"/>
      <x:c r="G81" s="70"/>
      <x:c r="H81" s="71" t="str">
        <x:f>IF(OR(E81="",F81=""),"",E81*F81)</x:f>
      </x:c>
      <x:c r="I81" s="44"/>
    </x:row>
    <x:row r="82">
      <x:c r="A82" s="39"/>
      <x:c r="B82" s="34"/>
      <x:c r="C82" s="34"/>
      <x:c r="D82" s="69"/>
      <x:c r="E82" s="70"/>
      <x:c r="F82" s="70"/>
      <x:c r="G82" s="70"/>
      <x:c r="H82" s="71" t="str">
        <x:f>IF(OR(E82="",F82=""),"",E82*F82)</x:f>
      </x:c>
      <x:c r="I82" s="44"/>
    </x:row>
    <x:row r="83">
      <x:c r="A83" s="39"/>
      <x:c r="B83" s="34"/>
      <x:c r="C83" s="34"/>
      <x:c r="D83" s="69"/>
      <x:c r="E83" s="70"/>
      <x:c r="F83" s="70"/>
      <x:c r="G83" s="70"/>
      <x:c r="H83" s="71" t="str">
        <x:f>IF(OR(E83="",F83=""),"",E83*F83)</x:f>
      </x:c>
      <x:c r="I83" s="44"/>
    </x:row>
    <x:row r="84">
      <x:c r="A84" s="39"/>
      <x:c r="B84" s="34"/>
      <x:c r="C84" s="34"/>
      <x:c r="D84" s="69"/>
      <x:c r="E84" s="70"/>
      <x:c r="F84" s="70"/>
      <x:c r="G84" s="70"/>
      <x:c r="H84" s="71" t="str">
        <x:f>IF(OR(E84="",F84=""),"",E84*F84)</x:f>
      </x:c>
      <x:c r="I84" s="44"/>
    </x:row>
    <x:row r="85">
      <x:c r="A85" s="39"/>
      <x:c r="B85" s="34"/>
      <x:c r="C85" s="34"/>
      <x:c r="D85" s="69"/>
      <x:c r="E85" s="70"/>
      <x:c r="F85" s="70"/>
      <x:c r="G85" s="70"/>
      <x:c r="H85" s="71" t="str">
        <x:f>IF(OR(E85="",F85=""),"",E85*F85)</x:f>
      </x:c>
      <x:c r="I85" s="44"/>
    </x:row>
    <x:row r="86">
      <x:c r="A86" s="39"/>
      <x:c r="B86" s="34"/>
      <x:c r="C86" s="34"/>
      <x:c r="D86" s="69"/>
      <x:c r="E86" s="70"/>
      <x:c r="F86" s="70"/>
      <x:c r="G86" s="70"/>
      <x:c r="H86" s="71" t="str">
        <x:f>IF(OR(E86="",F86=""),"",E86*F86)</x:f>
      </x:c>
      <x:c r="I86" s="44"/>
    </x:row>
    <x:row r="87">
      <x:c r="A87" s="39"/>
      <x:c r="B87" s="34"/>
      <x:c r="C87" s="34"/>
      <x:c r="D87" s="69"/>
      <x:c r="E87" s="70"/>
      <x:c r="F87" s="70"/>
      <x:c r="G87" s="70"/>
      <x:c r="H87" s="71" t="str">
        <x:f>IF(OR(E87="",F87=""),"",E87*F87)</x:f>
      </x:c>
      <x:c r="I87" s="44"/>
    </x:row>
    <x:row r="88">
      <x:c r="A88" s="39"/>
      <x:c r="B88" s="34"/>
      <x:c r="C88" s="34"/>
      <x:c r="D88" s="69"/>
      <x:c r="E88" s="70"/>
      <x:c r="F88" s="70"/>
      <x:c r="G88" s="70"/>
      <x:c r="H88" s="71" t="str">
        <x:f>IF(OR(E88="",F88=""),"",E88*F88)</x:f>
      </x:c>
      <x:c r="I88" s="44"/>
    </x:row>
    <x:row r="89">
      <x:c r="A89" s="39"/>
      <x:c r="B89" s="34"/>
      <x:c r="C89" s="34"/>
      <x:c r="D89" s="69"/>
      <x:c r="E89" s="70"/>
      <x:c r="F89" s="70"/>
      <x:c r="G89" s="70"/>
      <x:c r="H89" s="71" t="str">
        <x:f>IF(OR(E89="",F89=""),"",E89*F89)</x:f>
      </x:c>
      <x:c r="I89" s="44"/>
    </x:row>
    <x:row r="90">
      <x:c r="A90" s="39"/>
      <x:c r="B90" s="34"/>
      <x:c r="C90" s="34"/>
      <x:c r="D90" s="69"/>
      <x:c r="E90" s="70"/>
      <x:c r="F90" s="70"/>
      <x:c r="G90" s="70"/>
      <x:c r="H90" s="71" t="str">
        <x:f>IF(OR(E90="",F90=""),"",E90*F90)</x:f>
      </x:c>
      <x:c r="I90" s="44"/>
    </x:row>
    <x:row r="91">
      <x:c r="A91" s="39"/>
      <x:c r="B91" s="34"/>
      <x:c r="C91" s="34"/>
      <x:c r="D91" s="69"/>
      <x:c r="E91" s="70"/>
      <x:c r="F91" s="70"/>
      <x:c r="G91" s="70"/>
      <x:c r="H91" s="71" t="str">
        <x:f>IF(OR(E91="",F91=""),"",E91*F91)</x:f>
      </x:c>
      <x:c r="I91" s="44"/>
    </x:row>
    <x:row r="92">
      <x:c r="A92" s="39"/>
      <x:c r="B92" s="34"/>
      <x:c r="C92" s="34"/>
      <x:c r="D92" s="69"/>
      <x:c r="E92" s="70"/>
      <x:c r="F92" s="70"/>
      <x:c r="G92" s="70"/>
      <x:c r="H92" s="71" t="str">
        <x:f>IF(OR(E92="",F92=""),"",E92*F92)</x:f>
      </x:c>
      <x:c r="I92" s="44"/>
    </x:row>
    <x:row r="93">
      <x:c r="A93" s="39"/>
      <x:c r="B93" s="34"/>
      <x:c r="C93" s="34"/>
      <x:c r="D93" s="69"/>
      <x:c r="E93" s="70"/>
      <x:c r="F93" s="70"/>
      <x:c r="G93" s="70"/>
      <x:c r="H93" s="71" t="str">
        <x:f>IF(OR(E93="",F93=""),"",E93*F93)</x:f>
      </x:c>
      <x:c r="I93" s="44"/>
    </x:row>
    <x:row r="94">
      <x:c r="A94" s="39"/>
      <x:c r="B94" s="34"/>
      <x:c r="C94" s="34"/>
      <x:c r="D94" s="69"/>
      <x:c r="E94" s="70"/>
      <x:c r="F94" s="70"/>
      <x:c r="G94" s="70"/>
      <x:c r="H94" s="71" t="str">
        <x:f>IF(OR(E94="",F94=""),"",E94*F94)</x:f>
      </x:c>
      <x:c r="I94" s="44"/>
    </x:row>
    <x:row r="95">
      <x:c r="A95" s="39"/>
      <x:c r="B95" s="34"/>
      <x:c r="C95" s="34"/>
      <x:c r="D95" s="69"/>
      <x:c r="E95" s="70"/>
      <x:c r="F95" s="70"/>
      <x:c r="G95" s="70"/>
      <x:c r="H95" s="71" t="str">
        <x:f>IF(OR(E95="",F95=""),"",E95*F95)</x:f>
      </x:c>
      <x:c r="I95" s="44"/>
    </x:row>
    <x:row r="96">
      <x:c r="A96" s="39"/>
      <x:c r="B96" s="34"/>
      <x:c r="C96" s="34"/>
      <x:c r="D96" s="69"/>
      <x:c r="E96" s="70"/>
      <x:c r="F96" s="70"/>
      <x:c r="G96" s="70"/>
      <x:c r="H96" s="71" t="str">
        <x:f>IF(OR(E96="",F96=""),"",E96*F96)</x:f>
      </x:c>
      <x:c r="I96" s="44"/>
    </x:row>
    <x:row r="97">
      <x:c r="A97" s="39"/>
      <x:c r="B97" s="34"/>
      <x:c r="C97" s="34"/>
      <x:c r="D97" s="69"/>
      <x:c r="E97" s="70"/>
      <x:c r="F97" s="70"/>
      <x:c r="G97" s="70"/>
      <x:c r="H97" s="71" t="str">
        <x:f>IF(OR(E97="",F97=""),"",E97*F97)</x:f>
      </x:c>
      <x:c r="I97" s="44"/>
    </x:row>
    <x:row r="98">
      <x:c r="A98" s="39"/>
      <x:c r="B98" s="34"/>
      <x:c r="C98" s="34"/>
      <x:c r="D98" s="69"/>
      <x:c r="E98" s="70"/>
      <x:c r="F98" s="70"/>
      <x:c r="G98" s="70"/>
      <x:c r="H98" s="71" t="str">
        <x:f>IF(OR(E98="",F98=""),"",E98*F98)</x:f>
      </x:c>
      <x:c r="I98" s="44"/>
    </x:row>
    <x:row r="99">
      <x:c r="A99" s="39"/>
      <x:c r="B99" s="34"/>
      <x:c r="C99" s="34"/>
      <x:c r="D99" s="69"/>
      <x:c r="E99" s="70"/>
      <x:c r="F99" s="70"/>
      <x:c r="G99" s="70"/>
      <x:c r="H99" s="71" t="str">
        <x:f>IF(OR(E99="",F99=""),"",E99*F99)</x:f>
      </x:c>
      <x:c r="I99" s="44"/>
    </x:row>
    <x:row r="100">
      <x:c r="A100" s="39"/>
      <x:c r="B100" s="34"/>
      <x:c r="C100" s="34"/>
      <x:c r="D100" s="69"/>
      <x:c r="E100" s="70"/>
      <x:c r="F100" s="70"/>
      <x:c r="G100" s="70"/>
      <x:c r="H100" s="71" t="str">
        <x:f>IF(OR(E100="",F100=""),"",E100*F100)</x:f>
      </x:c>
      <x:c r="I100" s="44"/>
    </x:row>
    <x:row r="101">
      <x:c r="A101" s="39"/>
      <x:c r="B101" s="34"/>
      <x:c r="C101" s="34"/>
      <x:c r="D101" s="69"/>
      <x:c r="E101" s="70"/>
      <x:c r="F101" s="70"/>
      <x:c r="G101" s="70"/>
      <x:c r="H101" s="71" t="str">
        <x:f>IF(OR(E101="",F101=""),"",E101*F101)</x:f>
      </x:c>
      <x:c r="I101" s="44"/>
    </x:row>
    <x:row r="102">
      <x:c r="A102" s="39"/>
      <x:c r="B102" s="34"/>
      <x:c r="C102" s="34"/>
      <x:c r="D102" s="69"/>
      <x:c r="E102" s="70"/>
      <x:c r="F102" s="70"/>
      <x:c r="G102" s="70"/>
      <x:c r="H102" s="71" t="str">
        <x:f>IF(OR(E102="",F102=""),"",E102*F102)</x:f>
      </x:c>
      <x:c r="I102" s="44"/>
    </x:row>
    <x:row r="103">
      <x:c r="A103" s="39"/>
      <x:c r="B103" s="34"/>
      <x:c r="C103" s="34"/>
      <x:c r="D103" s="69"/>
      <x:c r="E103" s="70"/>
      <x:c r="F103" s="70"/>
      <x:c r="G103" s="70"/>
      <x:c r="H103" s="71" t="str">
        <x:f>IF(OR(E103="",F103=""),"",E103*F103)</x:f>
      </x:c>
      <x:c r="I103" s="44"/>
    </x:row>
    <x:row r="104">
      <x:c r="A104" s="39"/>
      <x:c r="B104" s="34"/>
      <x:c r="C104" s="34"/>
      <x:c r="D104" s="69"/>
      <x:c r="E104" s="70"/>
      <x:c r="F104" s="70"/>
      <x:c r="G104" s="70"/>
      <x:c r="H104" s="71" t="str">
        <x:f>IF(OR(E104="",F104=""),"",E104*F104)</x:f>
      </x:c>
      <x:c r="I104" s="44"/>
    </x:row>
    <x:row r="105">
      <x:c r="A105" s="39"/>
      <x:c r="B105" s="34"/>
      <x:c r="C105" s="34"/>
      <x:c r="D105" s="69"/>
      <x:c r="E105" s="70"/>
      <x:c r="F105" s="70"/>
      <x:c r="G105" s="70"/>
      <x:c r="H105" s="71" t="str">
        <x:f>IF(OR(E105="",F105=""),"",E105*F105)</x:f>
      </x:c>
      <x:c r="I105" s="44"/>
    </x:row>
    <x:row r="106">
      <x:c r="A106" s="39"/>
      <x:c r="B106" s="34"/>
      <x:c r="C106" s="34"/>
      <x:c r="D106" s="69"/>
      <x:c r="E106" s="70"/>
      <x:c r="F106" s="70"/>
      <x:c r="G106" s="70"/>
      <x:c r="H106" s="71" t="str">
        <x:f>IF(OR(E106="",F106=""),"",E106*F106)</x:f>
      </x:c>
      <x:c r="I106" s="44"/>
    </x:row>
    <x:row r="107">
      <x:c r="A107" s="39"/>
      <x:c r="B107" s="34"/>
      <x:c r="C107" s="34"/>
      <x:c r="D107" s="69"/>
      <x:c r="E107" s="70"/>
      <x:c r="F107" s="70"/>
      <x:c r="G107" s="70"/>
      <x:c r="H107" s="71" t="str">
        <x:f>IF(OR(E107="",F107=""),"",E107*F107)</x:f>
      </x:c>
      <x:c r="I107" s="44"/>
    </x:row>
    <x:row r="108">
      <x:c r="A108" s="39"/>
      <x:c r="B108" s="34"/>
      <x:c r="C108" s="34"/>
      <x:c r="D108" s="69"/>
      <x:c r="E108" s="70"/>
      <x:c r="F108" s="70"/>
      <x:c r="G108" s="70"/>
      <x:c r="H108" s="71" t="str">
        <x:f>IF(OR(E108="",F108=""),"",E108*F108)</x:f>
      </x:c>
      <x:c r="I108" s="44"/>
    </x:row>
    <x:row r="109">
      <x:c r="A109" s="39"/>
      <x:c r="B109" s="34"/>
      <x:c r="C109" s="34"/>
      <x:c r="D109" s="69"/>
      <x:c r="E109" s="70"/>
      <x:c r="F109" s="70"/>
      <x:c r="G109" s="70"/>
      <x:c r="H109" s="71" t="str">
        <x:f>IF(OR(E109="",F109=""),"",E109*F109)</x:f>
      </x:c>
      <x:c r="I109" s="44"/>
    </x:row>
    <x:row r="110">
      <x:c r="A110" s="39"/>
      <x:c r="B110" s="34"/>
      <x:c r="C110" s="34"/>
      <x:c r="D110" s="69"/>
      <x:c r="E110" s="70"/>
      <x:c r="F110" s="70"/>
      <x:c r="G110" s="70"/>
      <x:c r="H110" s="71" t="str">
        <x:f>IF(OR(E110="",F110=""),"",E110*F110)</x:f>
      </x:c>
      <x:c r="I110" s="44"/>
    </x:row>
    <x:row r="111">
      <x:c r="A111" s="39"/>
      <x:c r="B111" s="34"/>
      <x:c r="C111" s="34"/>
      <x:c r="D111" s="69"/>
      <x:c r="E111" s="70"/>
      <x:c r="F111" s="70"/>
      <x:c r="G111" s="70"/>
      <x:c r="H111" s="71" t="str">
        <x:f>IF(OR(E111="",F111=""),"",E111*F111)</x:f>
      </x:c>
      <x:c r="I111" s="44"/>
    </x:row>
    <x:row r="112">
      <x:c r="A112" s="39"/>
      <x:c r="B112" s="34"/>
      <x:c r="C112" s="34"/>
      <x:c r="D112" s="69"/>
      <x:c r="E112" s="70"/>
      <x:c r="F112" s="70"/>
      <x:c r="G112" s="70"/>
      <x:c r="H112" s="71" t="str">
        <x:f>IF(OR(E112="",F112=""),"",E112*F112)</x:f>
      </x:c>
      <x:c r="I112" s="44"/>
    </x:row>
    <x:row r="113">
      <x:c r="A113" s="39"/>
      <x:c r="B113" s="34"/>
      <x:c r="C113" s="34"/>
      <x:c r="D113" s="69"/>
      <x:c r="E113" s="70"/>
      <x:c r="F113" s="70"/>
      <x:c r="G113" s="70"/>
      <x:c r="H113" s="71" t="str">
        <x:f>IF(OR(E113="",F113=""),"",E113*F113)</x:f>
      </x:c>
      <x:c r="I113" s="44"/>
    </x:row>
    <x:row r="114">
      <x:c r="A114" s="39"/>
      <x:c r="B114" s="34"/>
      <x:c r="C114" s="34"/>
      <x:c r="D114" s="69"/>
      <x:c r="E114" s="70"/>
      <x:c r="F114" s="70"/>
      <x:c r="G114" s="70"/>
      <x:c r="H114" s="71" t="str">
        <x:f>IF(OR(E114="",F114=""),"",E114*F114)</x:f>
      </x:c>
      <x:c r="I114" s="44"/>
    </x:row>
    <x:row r="115">
      <x:c r="A115" s="39"/>
      <x:c r="B115" s="34"/>
      <x:c r="C115" s="34"/>
      <x:c r="D115" s="69"/>
      <x:c r="E115" s="70"/>
      <x:c r="F115" s="70"/>
      <x:c r="G115" s="70"/>
      <x:c r="H115" s="71" t="str">
        <x:f>IF(OR(E115="",F115=""),"",E115*F115)</x:f>
      </x:c>
      <x:c r="I115" s="44"/>
    </x:row>
    <x:row r="116">
      <x:c r="A116" s="39"/>
      <x:c r="B116" s="34"/>
      <x:c r="C116" s="34"/>
      <x:c r="D116" s="69"/>
      <x:c r="E116" s="70"/>
      <x:c r="F116" s="70"/>
      <x:c r="G116" s="70"/>
      <x:c r="H116" s="71" t="str">
        <x:f>IF(OR(E116="",F116=""),"",E116*F116)</x:f>
      </x:c>
      <x:c r="I116" s="44"/>
    </x:row>
    <x:row r="117">
      <x:c r="A117" s="39"/>
      <x:c r="B117" s="34"/>
      <x:c r="C117" s="34"/>
      <x:c r="D117" s="69"/>
      <x:c r="E117" s="70"/>
      <x:c r="F117" s="70"/>
      <x:c r="G117" s="70"/>
      <x:c r="H117" s="71" t="str">
        <x:f>IF(OR(E117="",F117=""),"",E117*F117)</x:f>
      </x:c>
      <x:c r="I117" s="44"/>
    </x:row>
    <x:row r="118">
      <x:c r="A118" s="39"/>
      <x:c r="B118" s="34"/>
      <x:c r="C118" s="34"/>
      <x:c r="D118" s="69"/>
      <x:c r="E118" s="70"/>
      <x:c r="F118" s="70"/>
      <x:c r="G118" s="70"/>
      <x:c r="H118" s="71" t="str">
        <x:f>IF(OR(E118="",F118=""),"",E118*F118)</x:f>
      </x:c>
      <x:c r="I118" s="44"/>
    </x:row>
    <x:row r="119">
      <x:c r="A119" s="39"/>
      <x:c r="B119" s="34"/>
      <x:c r="C119" s="34"/>
      <x:c r="D119" s="69"/>
      <x:c r="E119" s="70"/>
      <x:c r="F119" s="70"/>
      <x:c r="G119" s="70"/>
      <x:c r="H119" s="71" t="str">
        <x:f>IF(OR(E119="",F119=""),"",E119*F119)</x:f>
      </x:c>
      <x:c r="I119" s="44"/>
    </x:row>
    <x:row r="120">
      <x:c r="A120" s="39"/>
      <x:c r="B120" s="34"/>
      <x:c r="C120" s="34"/>
      <x:c r="D120" s="69"/>
      <x:c r="E120" s="70"/>
      <x:c r="F120" s="70"/>
      <x:c r="G120" s="70"/>
      <x:c r="H120" s="71" t="str">
        <x:f>IF(OR(E120="",F120=""),"",E120*F120)</x:f>
      </x:c>
      <x:c r="I120" s="44"/>
    </x:row>
    <x:row r="121">
      <x:c r="A121" s="39"/>
      <x:c r="B121" s="34"/>
      <x:c r="C121" s="34"/>
      <x:c r="D121" s="69"/>
      <x:c r="E121" s="70"/>
      <x:c r="F121" s="70"/>
      <x:c r="G121" s="70"/>
      <x:c r="H121" s="71" t="str">
        <x:f>IF(OR(E121="",F121=""),"",E121*F121)</x:f>
      </x:c>
      <x:c r="I121" s="44"/>
    </x:row>
    <x:row r="122">
      <x:c r="A122" s="39"/>
      <x:c r="B122" s="34"/>
      <x:c r="C122" s="34"/>
      <x:c r="D122" s="69"/>
      <x:c r="E122" s="70"/>
      <x:c r="F122" s="70"/>
      <x:c r="G122" s="70"/>
      <x:c r="H122" s="71" t="str">
        <x:f>IF(OR(E122="",F122=""),"",E122*F122)</x:f>
      </x:c>
      <x:c r="I122" s="44"/>
    </x:row>
    <x:row r="123">
      <x:c r="A123" s="39"/>
      <x:c r="B123" s="34"/>
      <x:c r="C123" s="34"/>
      <x:c r="D123" s="69"/>
      <x:c r="E123" s="70"/>
      <x:c r="F123" s="70"/>
      <x:c r="G123" s="70"/>
      <x:c r="H123" s="71" t="str">
        <x:f>IF(OR(E123="",F123=""),"",E123*F123)</x:f>
      </x:c>
      <x:c r="I123" s="44"/>
    </x:row>
    <x:row r="124">
      <x:c r="A124" s="39"/>
      <x:c r="B124" s="34"/>
      <x:c r="C124" s="34"/>
      <x:c r="D124" s="69"/>
      <x:c r="E124" s="70"/>
      <x:c r="F124" s="70"/>
      <x:c r="G124" s="70"/>
      <x:c r="H124" s="71" t="str">
        <x:f>IF(OR(E124="",F124=""),"",E124*F124)</x:f>
      </x:c>
      <x:c r="I124" s="44"/>
    </x:row>
    <x:row r="125">
      <x:c r="A125" s="39"/>
      <x:c r="B125" s="34"/>
      <x:c r="C125" s="34"/>
      <x:c r="D125" s="69"/>
      <x:c r="E125" s="70"/>
      <x:c r="F125" s="70"/>
      <x:c r="G125" s="70"/>
      <x:c r="H125" s="71" t="str">
        <x:f>IF(OR(E125="",F125=""),"",E125*F125)</x:f>
      </x:c>
      <x:c r="I125" s="44"/>
    </x:row>
    <x:row r="126">
      <x:c r="A126" s="39"/>
      <x:c r="B126" s="34"/>
      <x:c r="C126" s="34"/>
      <x:c r="D126" s="69"/>
      <x:c r="E126" s="70"/>
      <x:c r="F126" s="70"/>
      <x:c r="G126" s="70"/>
      <x:c r="H126" s="71" t="str">
        <x:f>IF(OR(E126="",F126=""),"",E126*F126)</x:f>
      </x:c>
      <x:c r="I126" s="44"/>
    </x:row>
    <x:row r="127">
      <x:c r="A127" s="39"/>
      <x:c r="B127" s="34"/>
      <x:c r="C127" s="34"/>
      <x:c r="D127" s="69"/>
      <x:c r="E127" s="70"/>
      <x:c r="F127" s="70"/>
      <x:c r="G127" s="70"/>
      <x:c r="H127" s="71" t="str">
        <x:f>IF(OR(E127="",F127=""),"",E127*F127)</x:f>
      </x:c>
      <x:c r="I127" s="44"/>
    </x:row>
    <x:row r="128">
      <x:c r="A128" s="39"/>
      <x:c r="B128" s="34"/>
      <x:c r="C128" s="34"/>
      <x:c r="D128" s="69"/>
      <x:c r="E128" s="70"/>
      <x:c r="F128" s="70"/>
      <x:c r="G128" s="70"/>
      <x:c r="H128" s="71" t="str">
        <x:f>IF(OR(E128="",F128=""),"",E128*F128)</x:f>
      </x:c>
      <x:c r="I128" s="44"/>
    </x:row>
    <x:row r="129">
      <x:c r="A129" s="39"/>
      <x:c r="B129" s="34"/>
      <x:c r="C129" s="34"/>
      <x:c r="D129" s="69"/>
      <x:c r="E129" s="70"/>
      <x:c r="F129" s="70"/>
      <x:c r="G129" s="70"/>
      <x:c r="H129" s="71" t="str">
        <x:f>IF(OR(E129="",F129=""),"",E129*F129)</x:f>
      </x:c>
      <x:c r="I129" s="44"/>
    </x:row>
    <x:row r="130">
      <x:c r="A130" s="39"/>
      <x:c r="B130" s="34"/>
      <x:c r="C130" s="34"/>
      <x:c r="D130" s="69"/>
      <x:c r="E130" s="70"/>
      <x:c r="F130" s="70"/>
      <x:c r="G130" s="70"/>
      <x:c r="H130" s="71" t="str">
        <x:f>IF(OR(E130="",F130=""),"",E130*F130)</x:f>
      </x:c>
      <x:c r="I130" s="44"/>
    </x:row>
    <x:row r="131">
      <x:c r="A131" s="39"/>
      <x:c r="B131" s="34"/>
      <x:c r="C131" s="34"/>
      <x:c r="D131" s="69"/>
      <x:c r="E131" s="70"/>
      <x:c r="F131" s="70"/>
      <x:c r="G131" s="70"/>
      <x:c r="H131" s="71" t="str">
        <x:f>IF(OR(E131="",F131=""),"",E131*F131)</x:f>
      </x:c>
      <x:c r="I131" s="44"/>
    </x:row>
    <x:row r="132">
      <x:c r="A132" s="39"/>
      <x:c r="B132" s="34"/>
      <x:c r="C132" s="34"/>
      <x:c r="D132" s="69"/>
      <x:c r="E132" s="70"/>
      <x:c r="F132" s="70"/>
      <x:c r="G132" s="70"/>
      <x:c r="H132" s="71" t="str">
        <x:f>IF(OR(E132="",F132=""),"",E132*F132)</x:f>
      </x:c>
      <x:c r="I132" s="44"/>
    </x:row>
    <x:row r="133">
      <x:c r="A133" s="39"/>
      <x:c r="B133" s="34"/>
      <x:c r="C133" s="34"/>
      <x:c r="D133" s="69"/>
      <x:c r="E133" s="70"/>
      <x:c r="F133" s="70"/>
      <x:c r="G133" s="70"/>
      <x:c r="H133" s="71" t="str">
        <x:f>IF(OR(E133="",F133=""),"",E133*F133)</x:f>
      </x:c>
      <x:c r="I133" s="44"/>
    </x:row>
    <x:row r="134">
      <x:c r="A134" s="39"/>
      <x:c r="B134" s="34"/>
      <x:c r="C134" s="34"/>
      <x:c r="D134" s="69"/>
      <x:c r="E134" s="70"/>
      <x:c r="F134" s="70"/>
      <x:c r="G134" s="70"/>
      <x:c r="H134" s="71" t="str">
        <x:f>IF(OR(E134="",F134=""),"",E134*F134)</x:f>
      </x:c>
      <x:c r="I134" s="44"/>
    </x:row>
    <x:row r="135">
      <x:c r="A135" s="39"/>
      <x:c r="B135" s="34"/>
      <x:c r="C135" s="34"/>
      <x:c r="D135" s="69"/>
      <x:c r="E135" s="70"/>
      <x:c r="F135" s="70"/>
      <x:c r="G135" s="70"/>
      <x:c r="H135" s="71" t="str">
        <x:f>IF(OR(E135="",F135=""),"",E135*F135)</x:f>
      </x:c>
      <x:c r="I135" s="44"/>
    </x:row>
    <x:row r="136">
      <x:c r="A136" s="39"/>
      <x:c r="B136" s="34"/>
      <x:c r="C136" s="34"/>
      <x:c r="D136" s="69"/>
      <x:c r="E136" s="70"/>
      <x:c r="F136" s="70"/>
      <x:c r="G136" s="70"/>
      <x:c r="H136" s="71" t="str">
        <x:f>IF(OR(E136="",F136=""),"",E136*F136)</x:f>
      </x:c>
      <x:c r="I136" s="44"/>
    </x:row>
    <x:row r="137">
      <x:c r="A137" s="39"/>
      <x:c r="B137" s="34"/>
      <x:c r="C137" s="34"/>
      <x:c r="D137" s="69"/>
      <x:c r="E137" s="70"/>
      <x:c r="F137" s="70"/>
      <x:c r="G137" s="70"/>
      <x:c r="H137" s="71" t="str">
        <x:f>IF(OR(E137="",F137=""),"",E137*F137)</x:f>
      </x:c>
      <x:c r="I137" s="44"/>
    </x:row>
    <x:row r="138">
      <x:c r="A138" s="39"/>
      <x:c r="B138" s="34"/>
      <x:c r="C138" s="34"/>
      <x:c r="D138" s="69"/>
      <x:c r="E138" s="70"/>
      <x:c r="F138" s="70"/>
      <x:c r="G138" s="70"/>
      <x:c r="H138" s="71" t="str">
        <x:f>IF(OR(E138="",F138=""),"",E138*F138)</x:f>
      </x:c>
      <x:c r="I138" s="44"/>
    </x:row>
    <x:row r="139">
      <x:c r="A139" s="39"/>
      <x:c r="B139" s="34"/>
      <x:c r="C139" s="34"/>
      <x:c r="D139" s="69"/>
      <x:c r="E139" s="70"/>
      <x:c r="F139" s="70"/>
      <x:c r="G139" s="70"/>
      <x:c r="H139" s="71" t="str">
        <x:f>IF(OR(E139="",F139=""),"",E139*F139)</x:f>
      </x:c>
      <x:c r="I139" s="44"/>
    </x:row>
    <x:row r="140">
      <x:c r="A140" s="39"/>
      <x:c r="B140" s="34"/>
      <x:c r="C140" s="34"/>
      <x:c r="D140" s="69"/>
      <x:c r="E140" s="70"/>
      <x:c r="F140" s="70"/>
      <x:c r="G140" s="70"/>
      <x:c r="H140" s="71" t="str">
        <x:f>IF(OR(E140="",F140=""),"",E140*F140)</x:f>
      </x:c>
      <x:c r="I140" s="44"/>
    </x:row>
    <x:row r="141">
      <x:c r="A141" s="39"/>
      <x:c r="B141" s="34"/>
      <x:c r="C141" s="34"/>
      <x:c r="D141" s="69"/>
      <x:c r="E141" s="70"/>
      <x:c r="F141" s="70"/>
      <x:c r="G141" s="70"/>
      <x:c r="H141" s="71" t="str">
        <x:f>IF(OR(E141="",F141=""),"",E141*F141)</x:f>
      </x:c>
      <x:c r="I141" s="44"/>
    </x:row>
    <x:row r="142">
      <x:c r="A142" s="39"/>
      <x:c r="B142" s="34"/>
      <x:c r="C142" s="34"/>
      <x:c r="D142" s="69"/>
      <x:c r="E142" s="70"/>
      <x:c r="F142" s="70"/>
      <x:c r="G142" s="70"/>
      <x:c r="H142" s="71" t="str">
        <x:f>IF(OR(E142="",F142=""),"",E142*F142)</x:f>
      </x:c>
      <x:c r="I142" s="44"/>
    </x:row>
    <x:row r="143">
      <x:c r="A143" s="39"/>
      <x:c r="B143" s="34"/>
      <x:c r="C143" s="34"/>
      <x:c r="D143" s="69"/>
      <x:c r="E143" s="70"/>
      <x:c r="F143" s="70"/>
      <x:c r="G143" s="70"/>
      <x:c r="H143" s="71" t="str">
        <x:f>IF(OR(E143="",F143=""),"",E143*F143)</x:f>
      </x:c>
      <x:c r="I143" s="44"/>
    </x:row>
    <x:row r="144">
      <x:c r="A144" s="39"/>
      <x:c r="B144" s="34"/>
      <x:c r="C144" s="34"/>
      <x:c r="D144" s="69"/>
      <x:c r="E144" s="70"/>
      <x:c r="F144" s="70"/>
      <x:c r="G144" s="70"/>
      <x:c r="H144" s="71" t="str">
        <x:f>IF(OR(E144="",F144=""),"",E144*F144)</x:f>
      </x:c>
      <x:c r="I144" s="44"/>
    </x:row>
    <x:row r="145">
      <x:c r="A145" s="39"/>
      <x:c r="B145" s="34"/>
      <x:c r="C145" s="34"/>
      <x:c r="D145" s="69"/>
      <x:c r="E145" s="70"/>
      <x:c r="F145" s="70"/>
      <x:c r="G145" s="70"/>
      <x:c r="H145" s="71" t="str">
        <x:f>IF(OR(E145="",F145=""),"",E145*F145)</x:f>
      </x:c>
      <x:c r="I145" s="44"/>
    </x:row>
    <x:row r="146">
      <x:c r="A146" s="39"/>
      <x:c r="B146" s="34"/>
      <x:c r="C146" s="34"/>
      <x:c r="D146" s="69"/>
      <x:c r="E146" s="70"/>
      <x:c r="F146" s="70"/>
      <x:c r="G146" s="70"/>
      <x:c r="H146" s="71" t="str">
        <x:f>IF(OR(E146="",F146=""),"",E146*F146)</x:f>
      </x:c>
      <x:c r="I146" s="44"/>
    </x:row>
    <x:row r="147">
      <x:c r="A147" s="39"/>
      <x:c r="B147" s="34"/>
      <x:c r="C147" s="34"/>
      <x:c r="D147" s="69"/>
      <x:c r="E147" s="70"/>
      <x:c r="F147" s="70"/>
      <x:c r="G147" s="70"/>
      <x:c r="H147" s="71" t="str">
        <x:f>IF(OR(E147="",F147=""),"",E147*F147)</x:f>
      </x:c>
      <x:c r="I147" s="44"/>
    </x:row>
    <x:row r="148">
      <x:c r="A148" s="39"/>
      <x:c r="B148" s="34"/>
      <x:c r="C148" s="34"/>
      <x:c r="D148" s="69"/>
      <x:c r="E148" s="70"/>
      <x:c r="F148" s="70"/>
      <x:c r="G148" s="70"/>
      <x:c r="H148" s="71" t="str">
        <x:f>IF(OR(E148="",F148=""),"",E148*F148)</x:f>
      </x:c>
      <x:c r="I148" s="44"/>
    </x:row>
    <x:row r="149">
      <x:c r="A149" s="39"/>
      <x:c r="B149" s="34"/>
      <x:c r="C149" s="34"/>
      <x:c r="D149" s="69"/>
      <x:c r="E149" s="70"/>
      <x:c r="F149" s="70"/>
      <x:c r="G149" s="70"/>
      <x:c r="H149" s="71" t="str">
        <x:f>IF(OR(E149="",F149=""),"",E149*F149)</x:f>
      </x:c>
      <x:c r="I149" s="44"/>
    </x:row>
    <x:row r="150">
      <x:c r="A150" s="39"/>
      <x:c r="B150" s="34"/>
      <x:c r="C150" s="34"/>
      <x:c r="D150" s="69"/>
      <x:c r="E150" s="70"/>
      <x:c r="F150" s="70"/>
      <x:c r="G150" s="70"/>
      <x:c r="H150" s="71" t="str">
        <x:f>IF(OR(E150="",F150=""),"",E150*F150)</x:f>
      </x:c>
      <x:c r="I150" s="44"/>
    </x:row>
    <x:row r="151">
      <x:c r="A151" s="39"/>
      <x:c r="B151" s="34"/>
      <x:c r="C151" s="34"/>
      <x:c r="D151" s="69"/>
      <x:c r="E151" s="70"/>
      <x:c r="F151" s="70"/>
      <x:c r="G151" s="70"/>
      <x:c r="H151" s="71" t="str">
        <x:f>IF(OR(E151="",F151=""),"",E151*F151)</x:f>
      </x:c>
      <x:c r="I151" s="44"/>
    </x:row>
    <x:row r="152">
      <x:c r="A152" s="39"/>
      <x:c r="B152" s="34"/>
      <x:c r="C152" s="34"/>
      <x:c r="D152" s="69"/>
      <x:c r="E152" s="70"/>
      <x:c r="F152" s="70"/>
      <x:c r="G152" s="70"/>
      <x:c r="H152" s="71" t="str">
        <x:f>IF(OR(E152="",F152=""),"",E152*F152)</x:f>
      </x:c>
      <x:c r="I152" s="44"/>
    </x:row>
    <x:row r="153">
      <x:c r="A153" s="39"/>
      <x:c r="B153" s="34"/>
      <x:c r="C153" s="34"/>
      <x:c r="D153" s="69"/>
      <x:c r="E153" s="70"/>
      <x:c r="F153" s="70"/>
      <x:c r="G153" s="70"/>
      <x:c r="H153" s="71" t="str">
        <x:f>IF(OR(E153="",F153=""),"",E153*F153)</x:f>
      </x:c>
      <x:c r="I153" s="44"/>
    </x:row>
    <x:row r="154">
      <x:c r="A154" s="39"/>
      <x:c r="B154" s="34"/>
      <x:c r="C154" s="34"/>
      <x:c r="D154" s="69"/>
      <x:c r="E154" s="70"/>
      <x:c r="F154" s="70"/>
      <x:c r="G154" s="70"/>
      <x:c r="H154" s="71" t="str">
        <x:f>IF(OR(E154="",F154=""),"",E154*F154)</x:f>
      </x:c>
      <x:c r="I154" s="44"/>
    </x:row>
    <x:row r="155">
      <x:c r="A155" s="39"/>
      <x:c r="B155" s="34"/>
      <x:c r="C155" s="34"/>
      <x:c r="D155" s="69"/>
      <x:c r="E155" s="70"/>
      <x:c r="F155" s="70"/>
      <x:c r="G155" s="70"/>
      <x:c r="H155" s="71" t="str">
        <x:f>IF(OR(E155="",F155=""),"",E155*F155)</x:f>
      </x:c>
      <x:c r="I155" s="44"/>
    </x:row>
    <x:row r="156">
      <x:c r="A156" s="39"/>
      <x:c r="B156" s="34"/>
      <x:c r="C156" s="34"/>
      <x:c r="D156" s="69"/>
      <x:c r="E156" s="70"/>
      <x:c r="F156" s="70"/>
      <x:c r="G156" s="70"/>
      <x:c r="H156" s="71" t="str">
        <x:f>IF(OR(E156="",F156=""),"",E156*F156)</x:f>
      </x:c>
      <x:c r="I156" s="44"/>
    </x:row>
    <x:row r="157">
      <x:c r="A157" s="39"/>
      <x:c r="B157" s="34"/>
      <x:c r="C157" s="34"/>
      <x:c r="D157" s="69"/>
      <x:c r="E157" s="70"/>
      <x:c r="F157" s="70"/>
      <x:c r="G157" s="70"/>
      <x:c r="H157" s="71" t="str">
        <x:f>IF(OR(E157="",F157=""),"",E157*F157)</x:f>
      </x:c>
      <x:c r="I157" s="44"/>
    </x:row>
    <x:row r="158">
      <x:c r="A158" s="39"/>
      <x:c r="B158" s="34"/>
      <x:c r="C158" s="34"/>
      <x:c r="D158" s="69"/>
      <x:c r="E158" s="70"/>
      <x:c r="F158" s="70"/>
      <x:c r="G158" s="70"/>
      <x:c r="H158" s="71" t="str">
        <x:f>IF(OR(E158="",F158=""),"",E158*F158)</x:f>
      </x:c>
      <x:c r="I158" s="44"/>
    </x:row>
    <x:row r="159">
      <x:c r="A159" s="39"/>
      <x:c r="B159" s="34"/>
      <x:c r="C159" s="34"/>
      <x:c r="D159" s="69"/>
      <x:c r="E159" s="70"/>
      <x:c r="F159" s="70"/>
      <x:c r="G159" s="70"/>
      <x:c r="H159" s="71" t="str">
        <x:f>IF(OR(E159="",F159=""),"",E159*F159)</x:f>
      </x:c>
      <x:c r="I159" s="44"/>
    </x:row>
    <x:row r="160">
      <x:c r="A160" s="39"/>
      <x:c r="B160" s="34"/>
      <x:c r="C160" s="34"/>
      <x:c r="D160" s="69"/>
      <x:c r="E160" s="70"/>
      <x:c r="F160" s="70"/>
      <x:c r="G160" s="70"/>
      <x:c r="H160" s="71" t="str">
        <x:f>IF(OR(E160="",F160=""),"",E160*F160)</x:f>
      </x:c>
      <x:c r="I160" s="44"/>
    </x:row>
    <x:row r="161">
      <x:c r="A161" s="39"/>
      <x:c r="B161" s="34"/>
      <x:c r="C161" s="34"/>
      <x:c r="D161" s="69"/>
      <x:c r="E161" s="70"/>
      <x:c r="F161" s="70"/>
      <x:c r="G161" s="70"/>
      <x:c r="H161" s="71" t="str">
        <x:f>IF(OR(E161="",F161=""),"",E161*F161)</x:f>
      </x:c>
      <x:c r="I161" s="44"/>
    </x:row>
    <x:row r="162">
      <x:c r="A162" s="39"/>
      <x:c r="B162" s="34"/>
      <x:c r="C162" s="34"/>
      <x:c r="D162" s="69"/>
      <x:c r="E162" s="70"/>
      <x:c r="F162" s="70"/>
      <x:c r="G162" s="70"/>
      <x:c r="H162" s="71" t="str">
        <x:f>IF(OR(E162="",F162=""),"",E162*F162)</x:f>
      </x:c>
      <x:c r="I162" s="44"/>
    </x:row>
    <x:row r="163">
      <x:c r="A163" s="39"/>
      <x:c r="B163" s="34"/>
      <x:c r="C163" s="34"/>
      <x:c r="D163" s="69"/>
      <x:c r="E163" s="70"/>
      <x:c r="F163" s="70"/>
      <x:c r="G163" s="70"/>
      <x:c r="H163" s="71" t="str">
        <x:f>IF(OR(E163="",F163=""),"",E163*F163)</x:f>
      </x:c>
      <x:c r="I163" s="44"/>
    </x:row>
    <x:row r="164">
      <x:c r="A164" s="39"/>
      <x:c r="B164" s="34"/>
      <x:c r="C164" s="34"/>
      <x:c r="D164" s="69"/>
      <x:c r="E164" s="70"/>
      <x:c r="F164" s="70"/>
      <x:c r="G164" s="70"/>
      <x:c r="H164" s="71" t="str">
        <x:f>IF(OR(E164="",F164=""),"",E164*F164)</x:f>
      </x:c>
      <x:c r="I164" s="44"/>
    </x:row>
    <x:row r="165">
      <x:c r="A165" s="39"/>
      <x:c r="B165" s="34"/>
      <x:c r="C165" s="34"/>
      <x:c r="D165" s="69"/>
      <x:c r="E165" s="70"/>
      <x:c r="F165" s="70"/>
      <x:c r="G165" s="70"/>
      <x:c r="H165" s="71" t="str">
        <x:f>IF(OR(E165="",F165=""),"",E165*F165)</x:f>
      </x:c>
      <x:c r="I165" s="44"/>
    </x:row>
    <x:row r="166">
      <x:c r="A166" s="39"/>
      <x:c r="B166" s="34"/>
      <x:c r="C166" s="34"/>
      <x:c r="D166" s="69"/>
      <x:c r="E166" s="70"/>
      <x:c r="F166" s="70"/>
      <x:c r="G166" s="70"/>
      <x:c r="H166" s="71" t="str">
        <x:f>IF(OR(E166="",F166=""),"",E166*F166)</x:f>
      </x:c>
      <x:c r="I166" s="44"/>
    </x:row>
    <x:row r="167">
      <x:c r="A167" s="39"/>
      <x:c r="B167" s="34"/>
      <x:c r="C167" s="34"/>
      <x:c r="D167" s="69"/>
      <x:c r="E167" s="70"/>
      <x:c r="F167" s="70"/>
      <x:c r="G167" s="70"/>
      <x:c r="H167" s="71" t="str">
        <x:f>IF(OR(E167="",F167=""),"",E167*F167)</x:f>
      </x:c>
      <x:c r="I167" s="44"/>
    </x:row>
    <x:row r="168">
      <x:c r="A168" s="39"/>
      <x:c r="B168" s="34"/>
      <x:c r="C168" s="34"/>
      <x:c r="D168" s="69"/>
      <x:c r="E168" s="70"/>
      <x:c r="F168" s="70"/>
      <x:c r="G168" s="70"/>
      <x:c r="H168" s="71" t="str">
        <x:f>IF(OR(E168="",F168=""),"",E168*F168)</x:f>
      </x:c>
      <x:c r="I168" s="44"/>
    </x:row>
    <x:row r="169">
      <x:c r="A169" s="39"/>
      <x:c r="B169" s="34"/>
      <x:c r="C169" s="34"/>
      <x:c r="D169" s="69"/>
      <x:c r="E169" s="70"/>
      <x:c r="F169" s="70"/>
      <x:c r="G169" s="70"/>
      <x:c r="H169" s="71" t="str">
        <x:f>IF(OR(E169="",F169=""),"",E169*F169)</x:f>
      </x:c>
      <x:c r="I169" s="44"/>
    </x:row>
    <x:row r="170">
      <x:c r="A170" s="39"/>
      <x:c r="B170" s="34"/>
      <x:c r="C170" s="34"/>
      <x:c r="D170" s="69"/>
      <x:c r="E170" s="70"/>
      <x:c r="F170" s="70"/>
      <x:c r="G170" s="70"/>
      <x:c r="H170" s="71" t="str">
        <x:f>IF(OR(E170="",F170=""),"",E170*F170)</x:f>
      </x:c>
      <x:c r="I170" s="44"/>
    </x:row>
    <x:row r="171">
      <x:c r="A171" s="39"/>
      <x:c r="B171" s="34"/>
      <x:c r="C171" s="34"/>
      <x:c r="D171" s="69"/>
      <x:c r="E171" s="70"/>
      <x:c r="F171" s="70"/>
      <x:c r="G171" s="70"/>
      <x:c r="H171" s="71" t="str">
        <x:f>IF(OR(E171="",F171=""),"",E171*F171)</x:f>
      </x:c>
      <x:c r="I171" s="44"/>
    </x:row>
    <x:row r="172">
      <x:c r="A172" s="39"/>
      <x:c r="B172" s="34"/>
      <x:c r="C172" s="34"/>
      <x:c r="D172" s="69"/>
      <x:c r="E172" s="70"/>
      <x:c r="F172" s="70"/>
      <x:c r="G172" s="70"/>
      <x:c r="H172" s="71" t="str">
        <x:f>IF(OR(E172="",F172=""),"",E172*F172)</x:f>
      </x:c>
      <x:c r="I172" s="44"/>
    </x:row>
    <x:row r="173">
      <x:c r="A173" s="39"/>
      <x:c r="B173" s="34"/>
      <x:c r="C173" s="34"/>
      <x:c r="D173" s="69"/>
      <x:c r="E173" s="70"/>
      <x:c r="F173" s="70"/>
      <x:c r="G173" s="70"/>
      <x:c r="H173" s="71" t="str">
        <x:f>IF(OR(E173="",F173=""),"",E173*F173)</x:f>
      </x:c>
      <x:c r="I173" s="44"/>
    </x:row>
    <x:row r="174">
      <x:c r="A174" s="39"/>
      <x:c r="B174" s="34"/>
      <x:c r="C174" s="34"/>
      <x:c r="D174" s="69"/>
      <x:c r="E174" s="70"/>
      <x:c r="F174" s="70"/>
      <x:c r="G174" s="70"/>
      <x:c r="H174" s="71" t="str">
        <x:f>IF(OR(E174="",F174=""),"",E174*F174)</x:f>
      </x:c>
      <x:c r="I174" s="44"/>
    </x:row>
    <x:row r="175">
      <x:c r="A175" s="39"/>
      <x:c r="B175" s="34"/>
      <x:c r="C175" s="34"/>
      <x:c r="D175" s="69"/>
      <x:c r="E175" s="70"/>
      <x:c r="F175" s="70"/>
      <x:c r="G175" s="70"/>
      <x:c r="H175" s="71" t="str">
        <x:f>IF(OR(E175="",F175=""),"",E175*F175)</x:f>
      </x:c>
      <x:c r="I175" s="44"/>
    </x:row>
    <x:row r="176">
      <x:c r="A176" s="39"/>
      <x:c r="B176" s="34"/>
      <x:c r="C176" s="34"/>
      <x:c r="D176" s="69"/>
      <x:c r="E176" s="70"/>
      <x:c r="F176" s="70"/>
      <x:c r="G176" s="70"/>
      <x:c r="H176" s="71" t="str">
        <x:f>IF(OR(E176="",F176=""),"",E176*F176)</x:f>
      </x:c>
      <x:c r="I176" s="44"/>
    </x:row>
    <x:row r="177">
      <x:c r="A177" s="39"/>
      <x:c r="B177" s="34"/>
      <x:c r="C177" s="34"/>
      <x:c r="D177" s="69"/>
      <x:c r="E177" s="70"/>
      <x:c r="F177" s="70"/>
      <x:c r="G177" s="70"/>
      <x:c r="H177" s="71" t="str">
        <x:f>IF(OR(E177="",F177=""),"",E177*F177)</x:f>
      </x:c>
      <x:c r="I177" s="44"/>
    </x:row>
    <x:row r="178">
      <x:c r="A178" s="39"/>
      <x:c r="B178" s="34"/>
      <x:c r="C178" s="34"/>
      <x:c r="D178" s="69"/>
      <x:c r="E178" s="70"/>
      <x:c r="F178" s="70"/>
      <x:c r="G178" s="70"/>
      <x:c r="H178" s="71" t="str">
        <x:f>IF(OR(E178="",F178=""),"",E178*F178)</x:f>
      </x:c>
      <x:c r="I178" s="44"/>
    </x:row>
    <x:row r="179">
      <x:c r="A179" s="39"/>
      <x:c r="B179" s="34"/>
      <x:c r="C179" s="34"/>
      <x:c r="D179" s="69"/>
      <x:c r="E179" s="70"/>
      <x:c r="F179" s="70"/>
      <x:c r="G179" s="70"/>
      <x:c r="H179" s="71" t="str">
        <x:f>IF(OR(E179="",F179=""),"",E179*F179)</x:f>
      </x:c>
      <x:c r="I179" s="44"/>
    </x:row>
    <x:row r="180">
      <x:c r="A180" s="39"/>
      <x:c r="B180" s="34"/>
      <x:c r="C180" s="34"/>
      <x:c r="D180" s="69"/>
      <x:c r="E180" s="70"/>
      <x:c r="F180" s="70"/>
      <x:c r="G180" s="70"/>
      <x:c r="H180" s="71" t="str">
        <x:f>IF(OR(E180="",F180=""),"",E180*F180)</x:f>
      </x:c>
      <x:c r="I180" s="44"/>
    </x:row>
    <x:row r="181">
      <x:c r="A181" s="39"/>
      <x:c r="B181" s="34"/>
      <x:c r="C181" s="34"/>
      <x:c r="D181" s="69"/>
      <x:c r="E181" s="70"/>
      <x:c r="F181" s="70"/>
      <x:c r="G181" s="70"/>
      <x:c r="H181" s="71" t="str">
        <x:f>IF(OR(E181="",F181=""),"",E181*F181)</x:f>
      </x:c>
      <x:c r="I181" s="44"/>
    </x:row>
    <x:row r="182">
      <x:c r="A182" s="39"/>
      <x:c r="B182" s="34"/>
      <x:c r="C182" s="34"/>
      <x:c r="D182" s="69"/>
      <x:c r="E182" s="70"/>
      <x:c r="F182" s="70"/>
      <x:c r="G182" s="70"/>
      <x:c r="H182" s="71" t="str">
        <x:f>IF(OR(E182="",F182=""),"",E182*F182)</x:f>
      </x:c>
      <x:c r="I182" s="44"/>
    </x:row>
    <x:row r="183">
      <x:c r="A183" s="39"/>
      <x:c r="B183" s="34"/>
      <x:c r="C183" s="34"/>
      <x:c r="D183" s="69"/>
      <x:c r="E183" s="70"/>
      <x:c r="F183" s="70"/>
      <x:c r="G183" s="70"/>
      <x:c r="H183" s="71" t="str">
        <x:f>IF(OR(E183="",F183=""),"",E183*F183)</x:f>
      </x:c>
      <x:c r="I183" s="44"/>
    </x:row>
    <x:row r="184">
      <x:c r="A184" s="39"/>
      <x:c r="B184" s="34"/>
      <x:c r="C184" s="34"/>
      <x:c r="D184" s="69"/>
      <x:c r="E184" s="70"/>
      <x:c r="F184" s="70"/>
      <x:c r="G184" s="70"/>
      <x:c r="H184" s="71" t="str">
        <x:f>IF(OR(E184="",F184=""),"",E184*F184)</x:f>
      </x:c>
      <x:c r="I184" s="44"/>
    </x:row>
    <x:row r="185">
      <x:c r="A185" s="39"/>
      <x:c r="B185" s="34"/>
      <x:c r="C185" s="34"/>
      <x:c r="D185" s="69"/>
      <x:c r="E185" s="70"/>
      <x:c r="F185" s="70"/>
      <x:c r="G185" s="70"/>
      <x:c r="H185" s="71" t="str">
        <x:f>IF(OR(E185="",F185=""),"",E185*F185)</x:f>
      </x:c>
      <x:c r="I185" s="44"/>
    </x:row>
    <x:row r="186">
      <x:c r="A186" s="39"/>
      <x:c r="B186" s="34"/>
      <x:c r="C186" s="34"/>
      <x:c r="D186" s="69"/>
      <x:c r="E186" s="70"/>
      <x:c r="F186" s="70"/>
      <x:c r="G186" s="70"/>
      <x:c r="H186" s="71" t="str">
        <x:f>IF(OR(E186="",F186=""),"",E186*F186)</x:f>
      </x:c>
      <x:c r="I186" s="44"/>
    </x:row>
    <x:row r="187">
      <x:c r="A187" s="39"/>
      <x:c r="B187" s="34"/>
      <x:c r="C187" s="34"/>
      <x:c r="D187" s="69"/>
      <x:c r="E187" s="70"/>
      <x:c r="F187" s="70"/>
      <x:c r="G187" s="70"/>
      <x:c r="H187" s="71" t="str">
        <x:f>IF(OR(E187="",F187=""),"",E187*F187)</x:f>
      </x:c>
      <x:c r="I187" s="44"/>
    </x:row>
    <x:row r="188">
      <x:c r="A188" s="39"/>
      <x:c r="B188" s="34"/>
      <x:c r="C188" s="34"/>
      <x:c r="D188" s="69"/>
      <x:c r="E188" s="70"/>
      <x:c r="F188" s="70"/>
      <x:c r="G188" s="70"/>
      <x:c r="H188" s="71" t="str">
        <x:f>IF(OR(E188="",F188=""),"",E188*F188)</x:f>
      </x:c>
      <x:c r="I188" s="44"/>
    </x:row>
    <x:row r="189">
      <x:c r="A189" s="39"/>
      <x:c r="B189" s="34"/>
      <x:c r="C189" s="34"/>
      <x:c r="D189" s="69"/>
      <x:c r="E189" s="70"/>
      <x:c r="F189" s="70"/>
      <x:c r="G189" s="70"/>
      <x:c r="H189" s="71" t="str">
        <x:f>IF(OR(E189="",F189=""),"",E189*F189)</x:f>
      </x:c>
      <x:c r="I189" s="44"/>
    </x:row>
    <x:row r="190">
      <x:c r="A190" s="39"/>
      <x:c r="B190" s="34"/>
      <x:c r="C190" s="34"/>
      <x:c r="D190" s="69"/>
      <x:c r="E190" s="70"/>
      <x:c r="F190" s="70"/>
      <x:c r="G190" s="70"/>
      <x:c r="H190" s="71" t="str">
        <x:f>IF(OR(E190="",F190=""),"",E190*F190)</x:f>
      </x:c>
      <x:c r="I190" s="44"/>
    </x:row>
    <x:row r="191">
      <x:c r="A191" s="39"/>
      <x:c r="B191" s="34"/>
      <x:c r="C191" s="34"/>
      <x:c r="D191" s="69"/>
      <x:c r="E191" s="70"/>
      <x:c r="F191" s="70"/>
      <x:c r="G191" s="70"/>
      <x:c r="H191" s="71" t="str">
        <x:f>IF(OR(E191="",F191=""),"",E191*F191)</x:f>
      </x:c>
      <x:c r="I191" s="44"/>
    </x:row>
    <x:row r="192">
      <x:c r="A192" s="39"/>
      <x:c r="B192" s="34"/>
      <x:c r="C192" s="34"/>
      <x:c r="D192" s="69"/>
      <x:c r="E192" s="70"/>
      <x:c r="F192" s="70"/>
      <x:c r="G192" s="70"/>
      <x:c r="H192" s="71" t="str">
        <x:f>IF(OR(E192="",F192=""),"",E192*F192)</x:f>
      </x:c>
      <x:c r="I192" s="44"/>
    </x:row>
    <x:row r="193">
      <x:c r="A193" s="39"/>
      <x:c r="B193" s="34"/>
      <x:c r="C193" s="34"/>
      <x:c r="D193" s="69"/>
      <x:c r="E193" s="70"/>
      <x:c r="F193" s="70"/>
      <x:c r="G193" s="70"/>
      <x:c r="H193" s="71" t="str">
        <x:f>IF(OR(E193="",F193=""),"",E193*F193)</x:f>
      </x:c>
      <x:c r="I193" s="44"/>
    </x:row>
    <x:row r="194">
      <x:c r="A194" s="39"/>
      <x:c r="B194" s="34"/>
      <x:c r="C194" s="34"/>
      <x:c r="D194" s="69"/>
      <x:c r="E194" s="70"/>
      <x:c r="F194" s="70"/>
      <x:c r="G194" s="70"/>
      <x:c r="H194" s="71" t="str">
        <x:f>IF(OR(E194="",F194=""),"",E194*F194)</x:f>
      </x:c>
      <x:c r="I194" s="44"/>
    </x:row>
    <x:row r="195">
      <x:c r="A195" s="39"/>
      <x:c r="B195" s="34"/>
      <x:c r="C195" s="34"/>
      <x:c r="D195" s="69"/>
      <x:c r="E195" s="70"/>
      <x:c r="F195" s="70"/>
      <x:c r="G195" s="70"/>
      <x:c r="H195" s="71" t="str">
        <x:f>IF(OR(E195="",F195=""),"",E195*F195)</x:f>
      </x:c>
      <x:c r="I195" s="44"/>
    </x:row>
    <x:row r="196">
      <x:c r="A196" s="39"/>
      <x:c r="B196" s="34"/>
      <x:c r="C196" s="34"/>
      <x:c r="D196" s="69"/>
      <x:c r="E196" s="70"/>
      <x:c r="F196" s="70"/>
      <x:c r="G196" s="70"/>
      <x:c r="H196" s="71" t="str">
        <x:f>IF(OR(E196="",F196=""),"",E196*F196)</x:f>
      </x:c>
      <x:c r="I196" s="44"/>
    </x:row>
    <x:row r="197">
      <x:c r="A197" s="39"/>
      <x:c r="B197" s="34"/>
      <x:c r="C197" s="34"/>
      <x:c r="D197" s="69"/>
      <x:c r="E197" s="70"/>
      <x:c r="F197" s="70"/>
      <x:c r="G197" s="70"/>
      <x:c r="H197" s="71" t="str">
        <x:f>IF(OR(E197="",F197=""),"",E197*F197)</x:f>
      </x:c>
      <x:c r="I197" s="44"/>
    </x:row>
    <x:row r="198">
      <x:c r="A198" s="39"/>
      <x:c r="B198" s="34"/>
      <x:c r="C198" s="34"/>
      <x:c r="D198" s="69"/>
      <x:c r="E198" s="70"/>
      <x:c r="F198" s="70"/>
      <x:c r="G198" s="70"/>
      <x:c r="H198" s="71" t="str">
        <x:f>IF(OR(E198="",F198=""),"",E198*F198)</x:f>
      </x:c>
      <x:c r="I198" s="44"/>
    </x:row>
    <x:row r="199">
      <x:c r="A199" s="39"/>
      <x:c r="B199" s="34"/>
      <x:c r="C199" s="34"/>
      <x:c r="D199" s="69"/>
      <x:c r="E199" s="70"/>
      <x:c r="F199" s="70"/>
      <x:c r="G199" s="70"/>
      <x:c r="H199" s="71" t="str">
        <x:f>IF(OR(E199="",F199=""),"",E199*F199)</x:f>
      </x:c>
      <x:c r="I199" s="44"/>
    </x:row>
    <x:row r="200">
      <x:c r="A200" s="39"/>
      <x:c r="B200" s="34"/>
      <x:c r="C200" s="34"/>
      <x:c r="D200" s="69"/>
      <x:c r="E200" s="70"/>
      <x:c r="F200" s="70"/>
      <x:c r="G200" s="70"/>
      <x:c r="H200" s="71" t="str">
        <x:f>IF(OR(E200="",F200=""),"",E200*F200)</x:f>
      </x:c>
      <x:c r="I200" s="44"/>
    </x:row>
    <x:row r="201">
      <x:c r="A201" s="39"/>
      <x:c r="B201" s="34"/>
      <x:c r="C201" s="34"/>
      <x:c r="D201" s="69"/>
      <x:c r="E201" s="70"/>
      <x:c r="F201" s="70"/>
      <x:c r="G201" s="70"/>
      <x:c r="H201" s="71" t="str">
        <x:f>IF(OR(E201="",F201=""),"",E201*F201)</x:f>
      </x:c>
      <x:c r="I201" s="44"/>
    </x:row>
    <x:row r="202">
      <x:c r="A202" s="39"/>
      <x:c r="B202" s="34"/>
      <x:c r="C202" s="34"/>
      <x:c r="D202" s="69"/>
      <x:c r="E202" s="70"/>
      <x:c r="F202" s="70"/>
      <x:c r="G202" s="70"/>
      <x:c r="H202" s="71" t="str">
        <x:f>IF(OR(E202="",F202=""),"",E202*F202)</x:f>
      </x:c>
      <x:c r="I202" s="44"/>
    </x:row>
    <x:row r="203">
      <x:c r="A203" s="39"/>
      <x:c r="B203" s="34"/>
      <x:c r="C203" s="34"/>
      <x:c r="D203" s="69"/>
      <x:c r="E203" s="70"/>
      <x:c r="F203" s="70"/>
      <x:c r="G203" s="70"/>
      <x:c r="H203" s="71" t="str">
        <x:f>IF(OR(E203="",F203=""),"",E203*F203)</x:f>
      </x:c>
      <x:c r="I203" s="44"/>
    </x:row>
    <x:row r="204">
      <x:c r="A204" s="39"/>
      <x:c r="B204" s="34"/>
      <x:c r="C204" s="34"/>
      <x:c r="D204" s="69"/>
      <x:c r="E204" s="70"/>
      <x:c r="F204" s="70"/>
      <x:c r="G204" s="70"/>
      <x:c r="H204" s="71" t="str">
        <x:f>IF(OR(E204="",F204=""),"",E204*F204)</x:f>
      </x:c>
      <x:c r="I204" s="44"/>
    </x:row>
    <x:row r="205">
      <x:c r="A205" s="39"/>
      <x:c r="B205" s="34"/>
      <x:c r="C205" s="34"/>
      <x:c r="D205" s="69"/>
      <x:c r="E205" s="70"/>
      <x:c r="F205" s="70"/>
      <x:c r="G205" s="70"/>
      <x:c r="H205" s="71" t="str">
        <x:f>IF(OR(E205="",F205=""),"",E205*F205)</x:f>
      </x:c>
      <x:c r="I205" s="44"/>
    </x:row>
    <x:row r="206">
      <x:c r="A206" s="39"/>
      <x:c r="B206" s="34"/>
      <x:c r="C206" s="34"/>
      <x:c r="D206" s="69"/>
      <x:c r="E206" s="70"/>
      <x:c r="F206" s="70"/>
      <x:c r="G206" s="70"/>
      <x:c r="H206" s="71" t="str">
        <x:f>IF(OR(E206="",F206=""),"",E206*F206)</x:f>
      </x:c>
      <x:c r="I206" s="44"/>
    </x:row>
    <x:row r="207">
      <x:c r="A207" s="39"/>
      <x:c r="B207" s="34"/>
      <x:c r="C207" s="34"/>
      <x:c r="D207" s="69"/>
      <x:c r="E207" s="70"/>
      <x:c r="F207" s="70"/>
      <x:c r="G207" s="70"/>
      <x:c r="H207" s="71" t="str">
        <x:f>IF(OR(E207="",F207=""),"",E207*F207)</x:f>
      </x:c>
      <x:c r="I207" s="44"/>
    </x:row>
    <x:row r="208">
      <x:c r="A208" s="39"/>
      <x:c r="B208" s="34"/>
      <x:c r="C208" s="34"/>
      <x:c r="D208" s="69"/>
      <x:c r="E208" s="70"/>
      <x:c r="F208" s="70"/>
      <x:c r="G208" s="70"/>
      <x:c r="H208" s="71" t="str">
        <x:f>IF(OR(E208="",F208=""),"",E208*F208)</x:f>
      </x:c>
      <x:c r="I208" s="44"/>
    </x:row>
    <x:row r="209">
      <x:c r="A209" s="39"/>
      <x:c r="B209" s="34"/>
      <x:c r="C209" s="34"/>
      <x:c r="D209" s="69"/>
      <x:c r="E209" s="70"/>
      <x:c r="F209" s="70"/>
      <x:c r="G209" s="70"/>
      <x:c r="H209" s="71" t="str">
        <x:f>IF(OR(E209="",F209=""),"",E209*F209)</x:f>
      </x:c>
      <x:c r="I209" s="44"/>
    </x:row>
    <x:row r="210">
      <x:c r="A210" s="39"/>
      <x:c r="B210" s="34"/>
      <x:c r="C210" s="34"/>
      <x:c r="D210" s="69"/>
      <x:c r="E210" s="70"/>
      <x:c r="F210" s="70"/>
      <x:c r="G210" s="70"/>
      <x:c r="H210" s="71" t="str">
        <x:f>IF(OR(E210="",F210=""),"",E210*F210)</x:f>
      </x:c>
      <x:c r="I210" s="44"/>
    </x:row>
    <x:row r="211">
      <x:c r="A211" s="39"/>
      <x:c r="B211" s="34"/>
      <x:c r="C211" s="34"/>
      <x:c r="D211" s="69"/>
      <x:c r="E211" s="70"/>
      <x:c r="F211" s="70"/>
      <x:c r="G211" s="70"/>
      <x:c r="H211" s="71" t="str">
        <x:f>IF(OR(E211="",F211=""),"",E211*F211)</x:f>
      </x:c>
      <x:c r="I211" s="44"/>
    </x:row>
    <x:row r="212">
      <x:c r="A212" s="39"/>
      <x:c r="B212" s="34"/>
      <x:c r="C212" s="34"/>
      <x:c r="D212" s="69"/>
      <x:c r="E212" s="70"/>
      <x:c r="F212" s="70"/>
      <x:c r="G212" s="70"/>
      <x:c r="H212" s="71" t="str">
        <x:f>IF(OR(E212="",F212=""),"",E212*F212)</x:f>
      </x:c>
      <x:c r="I212" s="44"/>
    </x:row>
    <x:row r="213">
      <x:c r="A213" s="39"/>
      <x:c r="B213" s="34"/>
      <x:c r="C213" s="34"/>
      <x:c r="D213" s="69"/>
      <x:c r="E213" s="70"/>
      <x:c r="F213" s="70"/>
      <x:c r="G213" s="70"/>
      <x:c r="H213" s="71" t="str">
        <x:f>IF(OR(E213="",F213=""),"",E213*F213)</x:f>
      </x:c>
      <x:c r="I213" s="44"/>
    </x:row>
    <x:row r="214">
      <x:c r="A214" s="39"/>
      <x:c r="B214" s="34"/>
      <x:c r="C214" s="34"/>
      <x:c r="D214" s="69"/>
      <x:c r="E214" s="70"/>
      <x:c r="F214" s="70"/>
      <x:c r="G214" s="70"/>
      <x:c r="H214" s="71" t="str">
        <x:f>IF(OR(E214="",F214=""),"",E214*F214)</x:f>
      </x:c>
      <x:c r="I214" s="44"/>
    </x:row>
    <x:row r="215">
      <x:c r="A215" s="39"/>
      <x:c r="B215" s="34"/>
      <x:c r="C215" s="34"/>
      <x:c r="D215" s="69"/>
      <x:c r="E215" s="70"/>
      <x:c r="F215" s="70"/>
      <x:c r="G215" s="70"/>
      <x:c r="H215" s="71" t="str">
        <x:f>IF(OR(E215="",F215=""),"",E215*F215)</x:f>
      </x:c>
      <x:c r="I215" s="44"/>
    </x:row>
    <x:row r="216">
      <x:c r="A216" s="39"/>
      <x:c r="B216" s="34"/>
      <x:c r="C216" s="34"/>
      <x:c r="D216" s="69"/>
      <x:c r="E216" s="70"/>
      <x:c r="F216" s="70"/>
      <x:c r="G216" s="70"/>
      <x:c r="H216" s="71" t="str">
        <x:f>IF(OR(E216="",F216=""),"",E216*F216)</x:f>
      </x:c>
      <x:c r="I216" s="44"/>
    </x:row>
    <x:row r="217">
      <x:c r="A217" s="39"/>
      <x:c r="B217" s="34"/>
      <x:c r="C217" s="34"/>
      <x:c r="D217" s="69"/>
      <x:c r="E217" s="70"/>
      <x:c r="F217" s="70"/>
      <x:c r="G217" s="70"/>
      <x:c r="H217" s="71" t="str">
        <x:f>IF(OR(E217="",F217=""),"",E217*F217)</x:f>
      </x:c>
      <x:c r="I217" s="44"/>
    </x:row>
    <x:row r="218">
      <x:c r="A218" s="39"/>
      <x:c r="B218" s="34"/>
      <x:c r="C218" s="34"/>
      <x:c r="D218" s="69"/>
      <x:c r="E218" s="70"/>
      <x:c r="F218" s="70"/>
      <x:c r="G218" s="70"/>
      <x:c r="H218" s="71" t="str">
        <x:f>IF(OR(E218="",F218=""),"",E218*F218)</x:f>
      </x:c>
      <x:c r="I218" s="44"/>
    </x:row>
    <x:row r="219">
      <x:c r="A219" s="39"/>
      <x:c r="B219" s="34"/>
      <x:c r="C219" s="34"/>
      <x:c r="D219" s="69"/>
      <x:c r="E219" s="70"/>
      <x:c r="F219" s="70"/>
      <x:c r="G219" s="70"/>
      <x:c r="H219" s="71" t="str">
        <x:f>IF(OR(E219="",F219=""),"",E219*F219)</x:f>
      </x:c>
      <x:c r="I219" s="44"/>
    </x:row>
    <x:row r="220">
      <x:c r="A220" s="39"/>
      <x:c r="B220" s="34"/>
      <x:c r="C220" s="34"/>
      <x:c r="D220" s="69"/>
      <x:c r="E220" s="70"/>
      <x:c r="F220" s="70"/>
      <x:c r="G220" s="70"/>
      <x:c r="H220" s="71" t="str">
        <x:f>IF(OR(E220="",F220=""),"",E220*F220)</x:f>
      </x:c>
      <x:c r="I220" s="44"/>
    </x:row>
    <x:row r="221">
      <x:c r="A221" s="39"/>
      <x:c r="B221" s="34"/>
      <x:c r="C221" s="34"/>
      <x:c r="D221" s="69"/>
      <x:c r="E221" s="70"/>
      <x:c r="F221" s="70"/>
      <x:c r="G221" s="70"/>
      <x:c r="H221" s="71" t="str">
        <x:f>IF(OR(E221="",F221=""),"",E221*F221)</x:f>
      </x:c>
      <x:c r="I221" s="44"/>
    </x:row>
    <x:row r="222">
      <x:c r="A222" s="39"/>
      <x:c r="B222" s="34"/>
      <x:c r="C222" s="34"/>
      <x:c r="D222" s="69"/>
      <x:c r="E222" s="70"/>
      <x:c r="F222" s="70"/>
      <x:c r="G222" s="70"/>
      <x:c r="H222" s="71" t="str">
        <x:f>IF(OR(E222="",F222=""),"",E222*F222)</x:f>
      </x:c>
      <x:c r="I222" s="44"/>
    </x:row>
    <x:row r="223">
      <x:c r="A223" s="39"/>
      <x:c r="B223" s="34"/>
      <x:c r="C223" s="34"/>
      <x:c r="D223" s="69"/>
      <x:c r="E223" s="70"/>
      <x:c r="F223" s="70"/>
      <x:c r="G223" s="70"/>
      <x:c r="H223" s="71" t="str">
        <x:f>IF(OR(E223="",F223=""),"",E223*F223)</x:f>
      </x:c>
      <x:c r="I223" s="44"/>
    </x:row>
    <x:row r="224">
      <x:c r="A224" s="39"/>
      <x:c r="B224" s="34"/>
      <x:c r="C224" s="34"/>
      <x:c r="D224" s="69"/>
      <x:c r="E224" s="70"/>
      <x:c r="F224" s="70"/>
      <x:c r="G224" s="70"/>
      <x:c r="H224" s="71" t="str">
        <x:f>IF(OR(E224="",F224=""),"",E224*F224)</x:f>
      </x:c>
      <x:c r="I224" s="44"/>
    </x:row>
    <x:row r="225">
      <x:c r="A225" s="39"/>
      <x:c r="B225" s="34"/>
      <x:c r="C225" s="34"/>
      <x:c r="D225" s="69"/>
      <x:c r="E225" s="70"/>
      <x:c r="F225" s="70"/>
      <x:c r="G225" s="70"/>
      <x:c r="H225" s="71" t="str">
        <x:f>IF(OR(E225="",F225=""),"",E225*F225)</x:f>
      </x:c>
      <x:c r="I225" s="44"/>
    </x:row>
    <x:row r="226">
      <x:c r="A226" s="39"/>
      <x:c r="B226" s="34"/>
      <x:c r="C226" s="34"/>
      <x:c r="D226" s="69"/>
      <x:c r="E226" s="70"/>
      <x:c r="F226" s="70"/>
      <x:c r="G226" s="70"/>
      <x:c r="H226" s="71" t="str">
        <x:f>IF(OR(E226="",F226=""),"",E226*F226)</x:f>
      </x:c>
      <x:c r="I226" s="44"/>
    </x:row>
    <x:row r="227">
      <x:c r="A227" s="39"/>
      <x:c r="B227" s="34"/>
      <x:c r="C227" s="34"/>
      <x:c r="D227" s="69"/>
      <x:c r="E227" s="70"/>
      <x:c r="F227" s="70"/>
      <x:c r="G227" s="70"/>
      <x:c r="H227" s="71" t="str">
        <x:f>IF(OR(E227="",F227=""),"",E227*F227)</x:f>
      </x:c>
      <x:c r="I227" s="44"/>
    </x:row>
    <x:row r="228">
      <x:c r="A228" s="39"/>
      <x:c r="B228" s="34"/>
      <x:c r="C228" s="34"/>
      <x:c r="D228" s="69"/>
      <x:c r="E228" s="70"/>
      <x:c r="F228" s="70"/>
      <x:c r="G228" s="70"/>
      <x:c r="H228" s="71" t="str">
        <x:f>IF(OR(E228="",F228=""),"",E228*F228)</x:f>
      </x:c>
      <x:c r="I228" s="44"/>
    </x:row>
    <x:row r="229">
      <x:c r="A229" s="39"/>
      <x:c r="B229" s="34"/>
      <x:c r="C229" s="34"/>
      <x:c r="D229" s="69"/>
      <x:c r="E229" s="70"/>
      <x:c r="F229" s="70"/>
      <x:c r="G229" s="70"/>
      <x:c r="H229" s="71" t="str">
        <x:f>IF(OR(E229="",F229=""),"",E229*F229)</x:f>
      </x:c>
      <x:c r="I229" s="44"/>
    </x:row>
    <x:row r="230">
      <x:c r="A230" s="39"/>
      <x:c r="B230" s="34"/>
      <x:c r="C230" s="34"/>
      <x:c r="D230" s="69"/>
      <x:c r="E230" s="70"/>
      <x:c r="F230" s="70"/>
      <x:c r="G230" s="70"/>
      <x:c r="H230" s="71" t="str">
        <x:f>IF(OR(E230="",F230=""),"",E230*F230)</x:f>
      </x:c>
      <x:c r="I230" s="44"/>
    </x:row>
    <x:row r="231">
      <x:c r="A231" s="39"/>
      <x:c r="B231" s="34"/>
      <x:c r="C231" s="34"/>
      <x:c r="D231" s="69"/>
      <x:c r="E231" s="70"/>
      <x:c r="F231" s="70"/>
      <x:c r="G231" s="70"/>
      <x:c r="H231" s="71" t="str">
        <x:f>IF(OR(E231="",F231=""),"",E231*F231)</x:f>
      </x:c>
      <x:c r="I231" s="44"/>
    </x:row>
    <x:row r="232">
      <x:c r="A232" s="39"/>
      <x:c r="B232" s="34"/>
      <x:c r="C232" s="34"/>
      <x:c r="D232" s="69"/>
      <x:c r="E232" s="70"/>
      <x:c r="F232" s="70"/>
      <x:c r="G232" s="70"/>
      <x:c r="H232" s="71" t="str">
        <x:f>IF(OR(E232="",F232=""),"",E232*F232)</x:f>
      </x:c>
      <x:c r="I232" s="44"/>
    </x:row>
    <x:row r="233">
      <x:c r="A233" s="39"/>
      <x:c r="B233" s="34"/>
      <x:c r="C233" s="34"/>
      <x:c r="D233" s="69"/>
      <x:c r="E233" s="70"/>
      <x:c r="F233" s="70"/>
      <x:c r="G233" s="70"/>
      <x:c r="H233" s="71" t="str">
        <x:f>IF(OR(E233="",F233=""),"",E233*F233)</x:f>
      </x:c>
      <x:c r="I233" s="44"/>
    </x:row>
    <x:row r="234">
      <x:c r="A234" s="39"/>
      <x:c r="B234" s="34"/>
      <x:c r="C234" s="34"/>
      <x:c r="D234" s="69"/>
      <x:c r="E234" s="70"/>
      <x:c r="F234" s="70"/>
      <x:c r="G234" s="70"/>
      <x:c r="H234" s="71" t="str">
        <x:f>IF(OR(E234="",F234=""),"",E234*F234)</x:f>
      </x:c>
      <x:c r="I234" s="44"/>
    </x:row>
    <x:row r="235">
      <x:c r="A235" s="39"/>
      <x:c r="B235" s="34"/>
      <x:c r="C235" s="34"/>
      <x:c r="D235" s="69"/>
      <x:c r="E235" s="70"/>
      <x:c r="F235" s="70"/>
      <x:c r="G235" s="70"/>
      <x:c r="H235" s="71" t="str">
        <x:f>IF(OR(E235="",F235=""),"",E235*F235)</x:f>
      </x:c>
      <x:c r="I235" s="44"/>
    </x:row>
    <x:row r="236">
      <x:c r="A236" s="39"/>
      <x:c r="B236" s="34"/>
      <x:c r="C236" s="34"/>
      <x:c r="D236" s="69"/>
      <x:c r="E236" s="70"/>
      <x:c r="F236" s="70"/>
      <x:c r="G236" s="70"/>
      <x:c r="H236" s="71" t="str">
        <x:f>IF(OR(E236="",F236=""),"",E236*F236)</x:f>
      </x:c>
      <x:c r="I236" s="44"/>
    </x:row>
    <x:row r="237">
      <x:c r="A237" s="39"/>
      <x:c r="B237" s="34"/>
      <x:c r="C237" s="34"/>
      <x:c r="D237" s="69"/>
      <x:c r="E237" s="70"/>
      <x:c r="F237" s="70"/>
      <x:c r="G237" s="70"/>
      <x:c r="H237" s="71" t="str">
        <x:f>IF(OR(E237="",F237=""),"",E237*F237)</x:f>
      </x:c>
      <x:c r="I237" s="44"/>
    </x:row>
    <x:row r="238">
      <x:c r="A238" s="39"/>
      <x:c r="B238" s="34"/>
      <x:c r="C238" s="34"/>
      <x:c r="D238" s="69"/>
      <x:c r="E238" s="70"/>
      <x:c r="F238" s="70"/>
      <x:c r="G238" s="70"/>
      <x:c r="H238" s="71" t="str">
        <x:f>IF(OR(E238="",F238=""),"",E238*F238)</x:f>
      </x:c>
      <x:c r="I238" s="44"/>
    </x:row>
    <x:row r="239">
      <x:c r="A239" s="39"/>
      <x:c r="B239" s="34"/>
      <x:c r="C239" s="34"/>
      <x:c r="D239" s="69"/>
      <x:c r="E239" s="70"/>
      <x:c r="F239" s="70"/>
      <x:c r="G239" s="70"/>
      <x:c r="H239" s="71" t="str">
        <x:f>IF(OR(E239="",F239=""),"",E239*F239)</x:f>
      </x:c>
      <x:c r="I239" s="44"/>
    </x:row>
    <x:row r="240">
      <x:c r="A240" s="39"/>
      <x:c r="B240" s="34"/>
      <x:c r="C240" s="34"/>
      <x:c r="D240" s="69"/>
      <x:c r="E240" s="70"/>
      <x:c r="F240" s="70"/>
      <x:c r="G240" s="70"/>
      <x:c r="H240" s="71" t="str">
        <x:f>IF(OR(E240="",F240=""),"",E240*F240)</x:f>
      </x:c>
      <x:c r="I240" s="44"/>
    </x:row>
    <x:row r="241">
      <x:c r="A241" s="39"/>
      <x:c r="B241" s="34"/>
      <x:c r="C241" s="34"/>
      <x:c r="D241" s="69"/>
      <x:c r="E241" s="70"/>
      <x:c r="F241" s="70"/>
      <x:c r="G241" s="70"/>
      <x:c r="H241" s="71" t="str">
        <x:f>IF(OR(E241="",F241=""),"",E241*F241)</x:f>
      </x:c>
      <x:c r="I241" s="44"/>
    </x:row>
    <x:row r="242">
      <x:c r="A242" s="39"/>
      <x:c r="B242" s="34"/>
      <x:c r="C242" s="34"/>
      <x:c r="D242" s="69"/>
      <x:c r="E242" s="70"/>
      <x:c r="F242" s="70"/>
      <x:c r="G242" s="70"/>
      <x:c r="H242" s="71" t="str">
        <x:f>IF(OR(E242="",F242=""),"",E242*F242)</x:f>
      </x:c>
      <x:c r="I242" s="44"/>
    </x:row>
    <x:row r="243">
      <x:c r="A243" s="39"/>
      <x:c r="B243" s="34"/>
      <x:c r="C243" s="34"/>
      <x:c r="D243" s="69"/>
      <x:c r="E243" s="70"/>
      <x:c r="F243" s="70"/>
      <x:c r="G243" s="70"/>
      <x:c r="H243" s="71" t="str">
        <x:f>IF(OR(E243="",F243=""),"",E243*F243)</x:f>
      </x:c>
      <x:c r="I243" s="44"/>
    </x:row>
    <x:row r="244">
      <x:c r="A244" s="39"/>
      <x:c r="B244" s="34"/>
      <x:c r="C244" s="34"/>
      <x:c r="D244" s="69"/>
      <x:c r="E244" s="70"/>
      <x:c r="F244" s="70"/>
      <x:c r="G244" s="70"/>
      <x:c r="H244" s="71" t="str">
        <x:f>IF(OR(E244="",F244=""),"",E244*F244)</x:f>
      </x:c>
      <x:c r="I244" s="44"/>
    </x:row>
    <x:row r="245">
      <x:c r="A245" s="39"/>
      <x:c r="B245" s="34"/>
      <x:c r="C245" s="34"/>
      <x:c r="D245" s="69"/>
      <x:c r="E245" s="70"/>
      <x:c r="F245" s="70"/>
      <x:c r="G245" s="70"/>
      <x:c r="H245" s="71" t="str">
        <x:f>IF(OR(E245="",F245=""),"",E245*F245)</x:f>
      </x:c>
      <x:c r="I245" s="44"/>
    </x:row>
    <x:row r="246">
      <x:c r="A246" s="39"/>
      <x:c r="B246" s="34"/>
      <x:c r="C246" s="34"/>
      <x:c r="D246" s="69"/>
      <x:c r="E246" s="70"/>
      <x:c r="F246" s="70"/>
      <x:c r="G246" s="70"/>
      <x:c r="H246" s="71" t="str">
        <x:f>IF(OR(E246="",F246=""),"",E246*F246)</x:f>
      </x:c>
      <x:c r="I246" s="44"/>
    </x:row>
    <x:row r="247">
      <x:c r="A247" s="39"/>
      <x:c r="B247" s="34"/>
      <x:c r="C247" s="34"/>
      <x:c r="D247" s="69"/>
      <x:c r="E247" s="70"/>
      <x:c r="F247" s="70"/>
      <x:c r="G247" s="70"/>
      <x:c r="H247" s="71" t="str">
        <x:f>IF(OR(E247="",F247=""),"",E247*F247)</x:f>
      </x:c>
      <x:c r="I247" s="44"/>
    </x:row>
    <x:row r="248">
      <x:c r="A248" s="39"/>
      <x:c r="B248" s="34"/>
      <x:c r="C248" s="34"/>
      <x:c r="D248" s="69"/>
      <x:c r="E248" s="70"/>
      <x:c r="F248" s="70"/>
      <x:c r="G248" s="70"/>
      <x:c r="H248" s="71" t="str">
        <x:f>IF(OR(E248="",F248=""),"",E248*F248)</x:f>
      </x:c>
      <x:c r="I248" s="44"/>
    </x:row>
    <x:row r="249">
      <x:c r="A249" s="39"/>
      <x:c r="B249" s="34"/>
      <x:c r="C249" s="34"/>
      <x:c r="D249" s="69"/>
      <x:c r="E249" s="70"/>
      <x:c r="F249" s="70"/>
      <x:c r="G249" s="70"/>
      <x:c r="H249" s="71" t="str">
        <x:f>IF(OR(E249="",F249=""),"",E249*F249)</x:f>
      </x:c>
      <x:c r="I249" s="44"/>
    </x:row>
    <x:row r="250">
      <x:c r="A250" s="39"/>
      <x:c r="B250" s="34"/>
      <x:c r="C250" s="34"/>
      <x:c r="D250" s="69"/>
      <x:c r="E250" s="70"/>
      <x:c r="F250" s="70"/>
      <x:c r="G250" s="70"/>
      <x:c r="H250" s="71" t="str">
        <x:f>IF(OR(E250="",F250=""),"",E250*F250)</x:f>
      </x:c>
      <x:c r="I250" s="44"/>
    </x:row>
    <x:row r="251">
      <x:c r="A251" s="39"/>
      <x:c r="B251" s="34"/>
      <x:c r="C251" s="34"/>
      <x:c r="D251" s="69"/>
      <x:c r="E251" s="70"/>
      <x:c r="F251" s="70"/>
      <x:c r="G251" s="70"/>
      <x:c r="H251" s="71" t="str">
        <x:f>IF(OR(E251="",F251=""),"",E251*F251)</x:f>
      </x:c>
      <x:c r="I251" s="44"/>
    </x:row>
    <x:row r="252">
      <x:c r="A252" s="39"/>
      <x:c r="B252" s="34"/>
      <x:c r="C252" s="34"/>
      <x:c r="D252" s="69"/>
      <x:c r="E252" s="70"/>
      <x:c r="F252" s="70"/>
      <x:c r="G252" s="70"/>
      <x:c r="H252" s="71" t="str">
        <x:f>IF(OR(E252="",F252=""),"",E252*F252)</x:f>
      </x:c>
      <x:c r="I252" s="44"/>
    </x:row>
    <x:row r="253">
      <x:c r="A253" s="39"/>
      <x:c r="B253" s="34"/>
      <x:c r="C253" s="34"/>
      <x:c r="D253" s="69"/>
      <x:c r="E253" s="70"/>
      <x:c r="F253" s="70"/>
      <x:c r="G253" s="70"/>
      <x:c r="H253" s="71" t="str">
        <x:f>IF(OR(E253="",F253=""),"",E253*F253)</x:f>
      </x:c>
      <x:c r="I253" s="44"/>
    </x:row>
    <x:row r="254">
      <x:c r="A254" s="39"/>
      <x:c r="B254" s="34"/>
      <x:c r="C254" s="34"/>
      <x:c r="D254" s="69"/>
      <x:c r="E254" s="70"/>
      <x:c r="F254" s="70"/>
      <x:c r="G254" s="70"/>
      <x:c r="H254" s="71" t="str">
        <x:f>IF(OR(E254="",F254=""),"",E254*F254)</x:f>
      </x:c>
      <x:c r="I254" s="44"/>
    </x:row>
    <x:row r="255">
      <x:c r="A255" s="39"/>
      <x:c r="B255" s="34"/>
      <x:c r="C255" s="34"/>
      <x:c r="D255" s="69"/>
      <x:c r="E255" s="70"/>
      <x:c r="F255" s="70"/>
      <x:c r="G255" s="70"/>
      <x:c r="H255" s="71" t="str">
        <x:f>IF(OR(E255="",F255=""),"",E255*F255)</x:f>
      </x:c>
      <x:c r="I255" s="44"/>
    </x:row>
    <x:row r="256">
      <x:c r="A256" s="39"/>
      <x:c r="B256" s="34"/>
      <x:c r="C256" s="34"/>
      <x:c r="D256" s="69"/>
      <x:c r="E256" s="70"/>
      <x:c r="F256" s="70"/>
      <x:c r="G256" s="70"/>
      <x:c r="H256" s="71" t="str">
        <x:f>IF(OR(E256="",F256=""),"",E256*F256)</x:f>
      </x:c>
      <x:c r="I256" s="44"/>
    </x:row>
    <x:row r="257">
      <x:c r="A257" s="39"/>
      <x:c r="B257" s="34"/>
      <x:c r="C257" s="34"/>
      <x:c r="D257" s="69"/>
      <x:c r="E257" s="70"/>
      <x:c r="F257" s="70"/>
      <x:c r="G257" s="70"/>
      <x:c r="H257" s="71" t="str">
        <x:f>IF(OR(E257="",F257=""),"",E257*F257)</x:f>
      </x:c>
      <x:c r="I257" s="44"/>
    </x:row>
    <x:row r="258">
      <x:c r="A258" s="39"/>
      <x:c r="B258" s="34"/>
      <x:c r="C258" s="34"/>
      <x:c r="D258" s="69"/>
      <x:c r="E258" s="70"/>
      <x:c r="F258" s="70"/>
      <x:c r="G258" s="70"/>
      <x:c r="H258" s="71" t="str">
        <x:f>IF(OR(E258="",F258=""),"",E258*F258)</x:f>
      </x:c>
      <x:c r="I258" s="44"/>
    </x:row>
    <x:row r="259">
      <x:c r="A259" s="39"/>
      <x:c r="B259" s="34"/>
      <x:c r="C259" s="34"/>
      <x:c r="D259" s="69"/>
      <x:c r="E259" s="70"/>
      <x:c r="F259" s="70"/>
      <x:c r="G259" s="70"/>
      <x:c r="H259" s="71" t="str">
        <x:f>IF(OR(E259="",F259=""),"",E259*F259)</x:f>
      </x:c>
      <x:c r="I259" s="44"/>
    </x:row>
    <x:row r="260">
      <x:c r="A260" s="39"/>
      <x:c r="B260" s="34"/>
      <x:c r="C260" s="34"/>
      <x:c r="D260" s="69"/>
      <x:c r="E260" s="70"/>
      <x:c r="F260" s="70"/>
      <x:c r="G260" s="70"/>
      <x:c r="H260" s="71" t="str">
        <x:f>IF(OR(E260="",F260=""),"",E260*F260)</x:f>
      </x:c>
      <x:c r="I260" s="44"/>
    </x:row>
    <x:row r="261">
      <x:c r="A261" s="39"/>
      <x:c r="B261" s="34"/>
      <x:c r="C261" s="34"/>
      <x:c r="D261" s="69"/>
      <x:c r="E261" s="70"/>
      <x:c r="F261" s="70"/>
      <x:c r="G261" s="70"/>
      <x:c r="H261" s="71" t="str">
        <x:f>IF(OR(E261="",F261=""),"",E261*F261)</x:f>
      </x:c>
      <x:c r="I261" s="44"/>
    </x:row>
    <x:row r="262">
      <x:c r="A262" s="39"/>
      <x:c r="B262" s="34"/>
      <x:c r="C262" s="34"/>
      <x:c r="D262" s="69"/>
      <x:c r="E262" s="70"/>
      <x:c r="F262" s="70"/>
      <x:c r="G262" s="70"/>
      <x:c r="H262" s="71" t="str">
        <x:f>IF(OR(E262="",F262=""),"",E262*F262)</x:f>
      </x:c>
      <x:c r="I262" s="44"/>
    </x:row>
    <x:row r="263">
      <x:c r="A263" s="39"/>
      <x:c r="B263" s="34"/>
      <x:c r="C263" s="34"/>
      <x:c r="D263" s="69"/>
      <x:c r="E263" s="70"/>
      <x:c r="F263" s="70"/>
      <x:c r="G263" s="70"/>
      <x:c r="H263" s="71" t="str">
        <x:f>IF(OR(E263="",F263=""),"",E263*F263)</x:f>
      </x:c>
      <x:c r="I263" s="44"/>
    </x:row>
    <x:row r="264">
      <x:c r="A264" s="39"/>
      <x:c r="B264" s="34"/>
      <x:c r="C264" s="34"/>
      <x:c r="D264" s="69"/>
      <x:c r="E264" s="70"/>
      <x:c r="F264" s="70"/>
      <x:c r="G264" s="70"/>
      <x:c r="H264" s="71" t="str">
        <x:f>IF(OR(E264="",F264=""),"",E264*F264)</x:f>
      </x:c>
      <x:c r="I264" s="44"/>
    </x:row>
    <x:row r="265">
      <x:c r="A265" s="39"/>
      <x:c r="B265" s="34"/>
      <x:c r="C265" s="34"/>
      <x:c r="D265" s="69"/>
      <x:c r="E265" s="70"/>
      <x:c r="F265" s="70"/>
      <x:c r="G265" s="70"/>
      <x:c r="H265" s="71" t="str">
        <x:f>IF(OR(E265="",F265=""),"",E265*F265)</x:f>
      </x:c>
      <x:c r="I265" s="44"/>
    </x:row>
    <x:row r="266">
      <x:c r="A266" s="39"/>
      <x:c r="B266" s="34"/>
      <x:c r="C266" s="34"/>
      <x:c r="D266" s="69"/>
      <x:c r="E266" s="70"/>
      <x:c r="F266" s="70"/>
      <x:c r="G266" s="70"/>
      <x:c r="H266" s="71" t="str">
        <x:f>IF(OR(E266="",F266=""),"",E266*F266)</x:f>
      </x:c>
      <x:c r="I266" s="44"/>
    </x:row>
    <x:row r="267">
      <x:c r="A267" s="39"/>
      <x:c r="B267" s="34"/>
      <x:c r="C267" s="34"/>
      <x:c r="D267" s="69"/>
      <x:c r="E267" s="70"/>
      <x:c r="F267" s="70"/>
      <x:c r="G267" s="70"/>
      <x:c r="H267" s="71" t="str">
        <x:f>IF(OR(E267="",F267=""),"",E267*F267)</x:f>
      </x:c>
      <x:c r="I267" s="44"/>
    </x:row>
    <x:row r="268">
      <x:c r="A268" s="39"/>
      <x:c r="B268" s="34"/>
      <x:c r="C268" s="34"/>
      <x:c r="D268" s="69"/>
      <x:c r="E268" s="70"/>
      <x:c r="F268" s="70"/>
      <x:c r="G268" s="70"/>
      <x:c r="H268" s="71" t="str">
        <x:f>IF(OR(E268="",F268=""),"",E268*F268)</x:f>
      </x:c>
      <x:c r="I268" s="44"/>
    </x:row>
    <x:row r="269">
      <x:c r="A269" s="39"/>
      <x:c r="B269" s="34"/>
      <x:c r="C269" s="34"/>
      <x:c r="D269" s="69"/>
      <x:c r="E269" s="70"/>
      <x:c r="F269" s="70"/>
      <x:c r="G269" s="70"/>
      <x:c r="H269" s="71" t="str">
        <x:f>IF(OR(E269="",F269=""),"",E269*F269)</x:f>
      </x:c>
      <x:c r="I269" s="44"/>
    </x:row>
    <x:row r="270">
      <x:c r="A270" s="39"/>
      <x:c r="B270" s="34"/>
      <x:c r="C270" s="34"/>
      <x:c r="D270" s="69"/>
      <x:c r="E270" s="70"/>
      <x:c r="F270" s="70"/>
      <x:c r="G270" s="70"/>
      <x:c r="H270" s="71" t="str">
        <x:f>IF(OR(E270="",F270=""),"",E270*F270)</x:f>
      </x:c>
      <x:c r="I270" s="44"/>
    </x:row>
    <x:row r="271">
      <x:c r="A271" s="39"/>
      <x:c r="B271" s="34"/>
      <x:c r="C271" s="34"/>
      <x:c r="D271" s="69"/>
      <x:c r="E271" s="70"/>
      <x:c r="F271" s="70"/>
      <x:c r="G271" s="70"/>
      <x:c r="H271" s="71" t="str">
        <x:f>IF(OR(E271="",F271=""),"",E271*F271)</x:f>
      </x:c>
      <x:c r="I271" s="44"/>
    </x:row>
    <x:row r="272">
      <x:c r="A272" s="39"/>
      <x:c r="B272" s="34"/>
      <x:c r="C272" s="34"/>
      <x:c r="D272" s="69"/>
      <x:c r="E272" s="70"/>
      <x:c r="F272" s="70"/>
      <x:c r="G272" s="70"/>
      <x:c r="H272" s="71" t="str">
        <x:f>IF(OR(E272="",F272=""),"",E272*F272)</x:f>
      </x:c>
      <x:c r="I272" s="44"/>
    </x:row>
    <x:row r="273">
      <x:c r="A273" s="39"/>
      <x:c r="B273" s="34"/>
      <x:c r="C273" s="34"/>
      <x:c r="D273" s="69"/>
      <x:c r="E273" s="70"/>
      <x:c r="F273" s="70"/>
      <x:c r="G273" s="70"/>
      <x:c r="H273" s="71" t="str">
        <x:f>IF(OR(E273="",F273=""),"",E273*F273)</x:f>
      </x:c>
      <x:c r="I273" s="44"/>
    </x:row>
    <x:row r="274">
      <x:c r="A274" s="39"/>
      <x:c r="B274" s="34"/>
      <x:c r="C274" s="34"/>
      <x:c r="D274" s="69"/>
      <x:c r="E274" s="70"/>
      <x:c r="F274" s="70"/>
      <x:c r="G274" s="70"/>
      <x:c r="H274" s="71" t="str">
        <x:f>IF(OR(E274="",F274=""),"",E274*F274)</x:f>
      </x:c>
      <x:c r="I274" s="44"/>
    </x:row>
    <x:row r="275">
      <x:c r="A275" s="39"/>
      <x:c r="B275" s="34"/>
      <x:c r="C275" s="34"/>
      <x:c r="D275" s="69"/>
      <x:c r="E275" s="70"/>
      <x:c r="F275" s="70"/>
      <x:c r="G275" s="70"/>
      <x:c r="H275" s="71" t="str">
        <x:f>IF(OR(E275="",F275=""),"",E275*F275)</x:f>
      </x:c>
      <x:c r="I275" s="44"/>
    </x:row>
    <x:row r="276">
      <x:c r="A276" s="39"/>
      <x:c r="B276" s="34"/>
      <x:c r="C276" s="34"/>
      <x:c r="D276" s="69"/>
      <x:c r="E276" s="70"/>
      <x:c r="F276" s="70"/>
      <x:c r="G276" s="70"/>
      <x:c r="H276" s="71" t="str">
        <x:f>IF(OR(E276="",F276=""),"",E276*F276)</x:f>
      </x:c>
      <x:c r="I276" s="44"/>
    </x:row>
    <x:row r="277">
      <x:c r="A277" s="39"/>
      <x:c r="B277" s="34"/>
      <x:c r="C277" s="34"/>
      <x:c r="D277" s="69"/>
      <x:c r="E277" s="70"/>
      <x:c r="F277" s="70"/>
      <x:c r="G277" s="70"/>
      <x:c r="H277" s="71" t="str">
        <x:f>IF(OR(E277="",F277=""),"",E277*F277)</x:f>
      </x:c>
      <x:c r="I277" s="44"/>
    </x:row>
    <x:row r="278">
      <x:c r="A278" s="39"/>
      <x:c r="B278" s="34"/>
      <x:c r="C278" s="34"/>
      <x:c r="D278" s="69"/>
      <x:c r="E278" s="70"/>
      <x:c r="F278" s="70"/>
      <x:c r="G278" s="70"/>
      <x:c r="H278" s="71" t="str">
        <x:f>IF(OR(E278="",F278=""),"",E278*F278)</x:f>
      </x:c>
      <x:c r="I278" s="44"/>
    </x:row>
    <x:row r="279">
      <x:c r="A279" s="39"/>
      <x:c r="B279" s="34"/>
      <x:c r="C279" s="34"/>
      <x:c r="D279" s="69"/>
      <x:c r="E279" s="70"/>
      <x:c r="F279" s="70"/>
      <x:c r="G279" s="70"/>
      <x:c r="H279" s="71" t="str">
        <x:f>IF(OR(E279="",F279=""),"",E279*F279)</x:f>
      </x:c>
      <x:c r="I279" s="44"/>
    </x:row>
    <x:row r="280">
      <x:c r="A280" s="39"/>
      <x:c r="B280" s="34"/>
      <x:c r="C280" s="34"/>
      <x:c r="D280" s="69"/>
      <x:c r="E280" s="70"/>
      <x:c r="F280" s="70"/>
      <x:c r="G280" s="70"/>
      <x:c r="H280" s="71" t="str">
        <x:f>IF(OR(E280="",F280=""),"",E280*F280)</x:f>
      </x:c>
      <x:c r="I280" s="44"/>
    </x:row>
    <x:row r="281">
      <x:c r="A281" s="39"/>
      <x:c r="B281" s="34"/>
      <x:c r="C281" s="34"/>
      <x:c r="D281" s="69"/>
      <x:c r="E281" s="70"/>
      <x:c r="F281" s="70"/>
      <x:c r="G281" s="70"/>
      <x:c r="H281" s="71" t="str">
        <x:f>IF(OR(E281="",F281=""),"",E281*F281)</x:f>
      </x:c>
      <x:c r="I281" s="44"/>
    </x:row>
    <x:row r="282">
      <x:c r="A282" s="39"/>
      <x:c r="B282" s="34"/>
      <x:c r="C282" s="34"/>
      <x:c r="D282" s="69"/>
      <x:c r="E282" s="70"/>
      <x:c r="F282" s="70"/>
      <x:c r="G282" s="70"/>
      <x:c r="H282" s="71" t="str">
        <x:f>IF(OR(E282="",F282=""),"",E282*F282)</x:f>
      </x:c>
      <x:c r="I282" s="44"/>
    </x:row>
    <x:row r="283">
      <x:c r="A283" s="39"/>
      <x:c r="B283" s="34"/>
      <x:c r="C283" s="34"/>
      <x:c r="D283" s="69"/>
      <x:c r="E283" s="70"/>
      <x:c r="F283" s="70"/>
      <x:c r="G283" s="70"/>
      <x:c r="H283" s="71" t="str">
        <x:f>IF(OR(E283="",F283=""),"",E283*F283)</x:f>
      </x:c>
      <x:c r="I283" s="44"/>
    </x:row>
    <x:row r="284">
      <x:c r="A284" s="39"/>
      <x:c r="B284" s="34"/>
      <x:c r="C284" s="34"/>
      <x:c r="D284" s="69"/>
      <x:c r="E284" s="70"/>
      <x:c r="F284" s="70"/>
      <x:c r="G284" s="70"/>
      <x:c r="H284" s="71" t="str">
        <x:f>IF(OR(E284="",F284=""),"",E284*F284)</x:f>
      </x:c>
      <x:c r="I284" s="44"/>
    </x:row>
    <x:row r="285">
      <x:c r="A285" s="39"/>
      <x:c r="B285" s="34"/>
      <x:c r="C285" s="34"/>
      <x:c r="D285" s="69"/>
      <x:c r="E285" s="70"/>
      <x:c r="F285" s="70"/>
      <x:c r="G285" s="70"/>
      <x:c r="H285" s="71" t="str">
        <x:f>IF(OR(E285="",F285=""),"",E285*F285)</x:f>
      </x:c>
      <x:c r="I285" s="44"/>
    </x:row>
    <x:row r="286">
      <x:c r="A286" s="39"/>
      <x:c r="B286" s="34"/>
      <x:c r="C286" s="34"/>
      <x:c r="D286" s="69"/>
      <x:c r="E286" s="70"/>
      <x:c r="F286" s="70"/>
      <x:c r="G286" s="70"/>
      <x:c r="H286" s="71" t="str">
        <x:f>IF(OR(E286="",F286=""),"",E286*F286)</x:f>
      </x:c>
      <x:c r="I286" s="44"/>
    </x:row>
    <x:row r="287">
      <x:c r="A287" s="39"/>
      <x:c r="B287" s="34"/>
      <x:c r="C287" s="34"/>
      <x:c r="D287" s="69"/>
      <x:c r="E287" s="70"/>
      <x:c r="F287" s="70"/>
      <x:c r="G287" s="70"/>
      <x:c r="H287" s="71" t="str">
        <x:f>IF(OR(E287="",F287=""),"",E287*F287)</x:f>
      </x:c>
      <x:c r="I287" s="44"/>
    </x:row>
    <x:row r="288">
      <x:c r="A288" s="39"/>
      <x:c r="B288" s="34"/>
      <x:c r="C288" s="34"/>
      <x:c r="D288" s="69"/>
      <x:c r="E288" s="70"/>
      <x:c r="F288" s="70"/>
      <x:c r="G288" s="70"/>
      <x:c r="H288" s="71" t="str">
        <x:f>IF(OR(E288="",F288=""),"",E288*F288)</x:f>
      </x:c>
      <x:c r="I288" s="44"/>
    </x:row>
    <x:row r="289">
      <x:c r="A289" s="39"/>
      <x:c r="B289" s="34"/>
      <x:c r="C289" s="34"/>
      <x:c r="D289" s="69"/>
      <x:c r="E289" s="70"/>
      <x:c r="F289" s="70"/>
      <x:c r="G289" s="70"/>
      <x:c r="H289" s="71" t="str">
        <x:f>IF(OR(E289="",F289=""),"",E289*F289)</x:f>
      </x:c>
      <x:c r="I289" s="44"/>
    </x:row>
    <x:row r="290">
      <x:c r="A290" s="39"/>
      <x:c r="B290" s="34"/>
      <x:c r="C290" s="34"/>
      <x:c r="D290" s="69"/>
      <x:c r="E290" s="70"/>
      <x:c r="F290" s="70"/>
      <x:c r="G290" s="70"/>
      <x:c r="H290" s="71" t="str">
        <x:f>IF(OR(E290="",F290=""),"",E290*F290)</x:f>
      </x:c>
      <x:c r="I290" s="44"/>
    </x:row>
    <x:row r="291">
      <x:c r="A291" s="39"/>
      <x:c r="B291" s="34"/>
      <x:c r="C291" s="34"/>
      <x:c r="D291" s="69"/>
      <x:c r="E291" s="70"/>
      <x:c r="F291" s="70"/>
      <x:c r="G291" s="70"/>
      <x:c r="H291" s="71" t="str">
        <x:f>IF(OR(E291="",F291=""),"",E291*F291)</x:f>
      </x:c>
      <x:c r="I291" s="44"/>
    </x:row>
    <x:row r="292">
      <x:c r="A292" s="39"/>
      <x:c r="B292" s="34"/>
      <x:c r="C292" s="34"/>
      <x:c r="D292" s="69"/>
      <x:c r="E292" s="70"/>
      <x:c r="F292" s="70"/>
      <x:c r="G292" s="70"/>
      <x:c r="H292" s="71" t="str">
        <x:f>IF(OR(E292="",F292=""),"",E292*F292)</x:f>
      </x:c>
      <x:c r="I292" s="44"/>
    </x:row>
    <x:row r="293">
      <x:c r="A293" s="39"/>
      <x:c r="B293" s="34"/>
      <x:c r="C293" s="34"/>
      <x:c r="D293" s="69"/>
      <x:c r="E293" s="70"/>
      <x:c r="F293" s="70"/>
      <x:c r="G293" s="70"/>
      <x:c r="H293" s="71" t="str">
        <x:f>IF(OR(E293="",F293=""),"",E293*F293)</x:f>
      </x:c>
      <x:c r="I293" s="44"/>
    </x:row>
    <x:row r="294">
      <x:c r="A294" s="39"/>
      <x:c r="B294" s="34"/>
      <x:c r="C294" s="34"/>
      <x:c r="D294" s="69"/>
      <x:c r="E294" s="70"/>
      <x:c r="F294" s="70"/>
      <x:c r="G294" s="70"/>
      <x:c r="H294" s="71" t="str">
        <x:f>IF(OR(E294="",F294=""),"",E294*F294)</x:f>
      </x:c>
      <x:c r="I294" s="44"/>
    </x:row>
    <x:row r="295">
      <x:c r="A295" s="39"/>
      <x:c r="B295" s="34"/>
      <x:c r="C295" s="34"/>
      <x:c r="D295" s="69"/>
      <x:c r="E295" s="70"/>
      <x:c r="F295" s="70"/>
      <x:c r="G295" s="70"/>
      <x:c r="H295" s="71" t="str">
        <x:f>IF(OR(E295="",F295=""),"",E295*F295)</x:f>
      </x:c>
      <x:c r="I295" s="44"/>
    </x:row>
    <x:row r="296">
      <x:c r="A296" s="39"/>
      <x:c r="B296" s="34"/>
      <x:c r="C296" s="34"/>
      <x:c r="D296" s="69"/>
      <x:c r="E296" s="70"/>
      <x:c r="F296" s="70"/>
      <x:c r="G296" s="70"/>
      <x:c r="H296" s="71" t="str">
        <x:f>IF(OR(E296="",F296=""),"",E296*F296)</x:f>
      </x:c>
      <x:c r="I296" s="44"/>
    </x:row>
    <x:row r="297">
      <x:c r="A297" s="39"/>
      <x:c r="B297" s="34"/>
      <x:c r="C297" s="34"/>
      <x:c r="D297" s="69"/>
      <x:c r="E297" s="70"/>
      <x:c r="F297" s="70"/>
      <x:c r="G297" s="70"/>
      <x:c r="H297" s="71" t="str">
        <x:f>IF(OR(E297="",F297=""),"",E297*F297)</x:f>
      </x:c>
      <x:c r="I297" s="44"/>
    </x:row>
    <x:row r="298">
      <x:c r="A298" s="39"/>
      <x:c r="B298" s="34"/>
      <x:c r="C298" s="34"/>
      <x:c r="D298" s="69"/>
      <x:c r="E298" s="70"/>
      <x:c r="F298" s="70"/>
      <x:c r="G298" s="70"/>
      <x:c r="H298" s="71" t="str">
        <x:f>IF(OR(E298="",F298=""),"",E298*F298)</x:f>
      </x:c>
      <x:c r="I298" s="44"/>
    </x:row>
    <x:row r="299">
      <x:c r="A299" s="39"/>
      <x:c r="B299" s="34"/>
      <x:c r="C299" s="34"/>
      <x:c r="D299" s="69"/>
      <x:c r="E299" s="70"/>
      <x:c r="F299" s="70"/>
      <x:c r="G299" s="70"/>
      <x:c r="H299" s="71" t="str">
        <x:f>IF(OR(E299="",F299=""),"",E299*F299)</x:f>
      </x:c>
      <x:c r="I299" s="44"/>
    </x:row>
    <x:row r="300">
      <x:c r="A300" s="39"/>
      <x:c r="B300" s="34"/>
      <x:c r="C300" s="34"/>
      <x:c r="D300" s="69"/>
      <x:c r="E300" s="70"/>
      <x:c r="F300" s="70"/>
      <x:c r="G300" s="70"/>
      <x:c r="H300" s="71" t="str">
        <x:f>IF(OR(E300="",F300=""),"",E300*F300)</x:f>
      </x:c>
      <x:c r="I300" s="44"/>
    </x:row>
    <x:row r="301">
      <x:c r="A301" s="39"/>
      <x:c r="B301" s="34"/>
      <x:c r="C301" s="34"/>
      <x:c r="D301" s="69"/>
      <x:c r="E301" s="70"/>
      <x:c r="F301" s="70"/>
      <x:c r="G301" s="70"/>
      <x:c r="H301" s="71" t="str">
        <x:f>IF(OR(E301="",F301=""),"",E301*F301)</x:f>
      </x:c>
      <x:c r="I301" s="44"/>
    </x:row>
    <x:row r="302">
      <x:c r="A302" s="39"/>
      <x:c r="B302" s="34"/>
      <x:c r="C302" s="34"/>
      <x:c r="D302" s="69"/>
      <x:c r="E302" s="70"/>
      <x:c r="F302" s="70"/>
      <x:c r="G302" s="70"/>
      <x:c r="H302" s="71" t="str">
        <x:f>IF(OR(E302="",F302=""),"",E302*F302)</x:f>
      </x:c>
      <x:c r="I302" s="44"/>
    </x:row>
    <x:row r="303">
      <x:c r="A303" s="39"/>
      <x:c r="B303" s="34"/>
      <x:c r="C303" s="34"/>
      <x:c r="D303" s="69"/>
      <x:c r="E303" s="70"/>
      <x:c r="F303" s="70"/>
      <x:c r="G303" s="70"/>
      <x:c r="H303" s="71" t="str">
        <x:f>IF(OR(E303="",F303=""),"",E303*F303)</x:f>
      </x:c>
      <x:c r="I303" s="44"/>
    </x:row>
    <x:row r="304">
      <x:c r="A304" s="41"/>
      <x:c r="B304" s="36"/>
      <x:c r="C304" s="36"/>
      <x:c r="D304" s="72"/>
      <x:c r="E304" s="73"/>
      <x:c r="F304" s="73"/>
      <x:c r="G304" s="73"/>
      <x:c r="H304" s="74" t="str">
        <x:f>IF(OR(E304="",F304=""),"",E304*F304)</x:f>
      </x:c>
      <x:c r="I304" s="45"/>
    </x:row>
  </x:sheetData>
  <x:mergeCells>
    <x:mergeCell ref="A1:I1"/>
    <x:mergeCell ref="A2:I2"/>
  </x:mergeCells>
  <x:dataValidations count="4">
    <x:dataValidation type="whole" operator="between" sqref="D5:D304">
      <x:formula1>1</x:formula1>
      <x:formula2>30</x:formula2>
    </x:dataValidation>
    <x:dataValidation type="decimal" operator="between" sqref="E5:E304">
      <x:formula1>0</x:formula1>
      <x:formula2>1000</x:formula2>
    </x:dataValidation>
    <x:dataValidation type="whole" operator="between" sqref="F5:F304">
      <x:formula1>1</x:formula1>
      <x:formula2>200</x:formula2>
    </x:dataValidation>
    <x:dataValidation type="decimal" operator="between" sqref="G5:G304">
      <x:formula1>1</x:formula1>
      <x:formula2>10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32.5" hidden="0" customWidth="1"/>
    <x:col min="4" max="4" width="16" hidden="0" customWidth="1"/>
    <x:col min="5" max="5" width="28" hidden="0" customWidth="1"/>
  </x:cols>
  <x:sheetData>
    <x:row r="1" ht="34" customHeight="1">
      <x:c r="A1" s="3" t="str">
        <x:v>資金控制</x:v>
      </x:c>
      <x:c r="B1" s="3"/>
      <x:c r="C1" s="3"/>
      <x:c r="D1" s="3"/>
      <x:c r="E1" s="3"/>
    </x:row>
    <x:row r="2" ht="26" customHeight="1">
      <x:c r="A2" s="6" t="str">
        <x:v>只記總額，不保存銀行帳號、信用卡號或登入資訊</x:v>
      </x:c>
      <x:c r="B2" s="6"/>
      <x:c r="C2" s="6"/>
      <x:c r="D2" s="6"/>
      <x:c r="E2" s="6"/>
    </x:row>
    <x:row r="4" ht="30" customHeight="1">
      <x:c r="A4" s="18" t="str">
        <x:v>基準項目</x:v>
      </x:c>
      <x:c r="B4" s="20" t="str">
        <x:v>金額（TWD）</x:v>
      </x:c>
    </x:row>
    <x:row r="5">
      <x:c r="A5" s="75" t="str">
        <x:v>起始現金</x:v>
      </x:c>
      <x:c r="B5" s="78" t="n">
        <x:v>20000</x:v>
      </x:c>
    </x:row>
    <x:row r="6">
      <x:c r="A6" s="76" t="str">
        <x:v>投資資產（基準）</x:v>
      </x:c>
      <x:c r="B6" s="79" t="n">
        <x:v>1030000</x:v>
      </x:c>
    </x:row>
    <x:row r="7">
      <x:c r="A7" s="76" t="str">
        <x:v>現金緩衝目標</x:v>
      </x:c>
      <x:c r="B7" s="79" t="n">
        <x:v>121200</x:v>
      </x:c>
    </x:row>
    <x:row r="8">
      <x:c r="A8" s="76" t="str">
        <x:v>入薪轉存目標</x:v>
      </x:c>
      <x:c r="B8" s="79" t="n">
        <x:v>80000</x:v>
      </x:c>
    </x:row>
    <x:row r="9">
      <x:c r="A9" s="76" t="str">
        <x:v>目前現金</x:v>
      </x:c>
      <x:c r="B9" s="79" t="n">
        <x:f>B5+SUM(B14:B25)</x:f>
        <x:v>70000</x:v>
      </x:c>
    </x:row>
    <x:row r="10">
      <x:c r="A10" s="77" t="str">
        <x:v>距離目標</x:v>
      </x:c>
      <x:c r="B10" s="80" t="n">
        <x:f>B7-B9</x:f>
        <x:v>51200</x:v>
      </x:c>
    </x:row>
    <x:row r="12">
      <x:c r="A12" s="83" t="str">
        <x:v>轉存紀錄</x:v>
      </x:c>
      <x:c r="B12" s="84"/>
      <x:c r="C12" s="85"/>
    </x:row>
    <x:row r="13" ht="30" customHeight="1">
      <x:c r="A13" s="18" t="str">
        <x:v>日期</x:v>
      </x:c>
      <x:c r="B13" s="19" t="str">
        <x:v>金額（TWD）</x:v>
      </x:c>
      <x:c r="C13" s="20" t="str">
        <x:v>備註</x:v>
      </x:c>
    </x:row>
    <x:row r="14" ht="25.5" customHeight="1">
      <x:c r="A14" s="22" t="n">
        <x:v>46239</x:v>
      </x:c>
      <x:c r="B14" s="78" t="n">
        <x:v>50000</x:v>
      </x:c>
      <x:c r="C14" s="138" t="str">
        <x:v>薪資入帳 133,735 元；轉入現金緩衝</x:v>
      </x:c>
    </x:row>
    <x:row r="15">
      <x:c r="A15" s="24"/>
      <x:c r="B15" s="79"/>
      <x:c r="C15" s="25"/>
    </x:row>
    <x:row r="16">
      <x:c r="A16" s="24"/>
      <x:c r="B16" s="79"/>
      <x:c r="C16" s="25"/>
    </x:row>
    <x:row r="17">
      <x:c r="A17" s="24"/>
      <x:c r="B17" s="79"/>
      <x:c r="C17" s="25"/>
    </x:row>
    <x:row r="18">
      <x:c r="A18" s="24"/>
      <x:c r="B18" s="79"/>
      <x:c r="C18" s="25"/>
    </x:row>
    <x:row r="19">
      <x:c r="A19" s="24"/>
      <x:c r="B19" s="79"/>
      <x:c r="C19" s="25"/>
    </x:row>
    <x:row r="20">
      <x:c r="A20" s="24"/>
      <x:c r="B20" s="79"/>
      <x:c r="C20" s="25"/>
    </x:row>
    <x:row r="21">
      <x:c r="A21" s="24"/>
      <x:c r="B21" s="79"/>
      <x:c r="C21" s="25"/>
    </x:row>
    <x:row r="22">
      <x:c r="A22" s="24"/>
      <x:c r="B22" s="79"/>
      <x:c r="C22" s="25"/>
    </x:row>
    <x:row r="23">
      <x:c r="A23" s="24"/>
      <x:c r="B23" s="79"/>
      <x:c r="C23" s="25"/>
    </x:row>
    <x:row r="24">
      <x:c r="A24" s="24"/>
      <x:c r="B24" s="79"/>
      <x:c r="C24" s="25"/>
    </x:row>
    <x:row r="25">
      <x:c r="A25" s="26"/>
      <x:c r="B25" s="80"/>
      <x:c r="C25" s="27"/>
    </x:row>
    <x:row r="27">
      <x:c r="A27" s="83" t="str">
        <x:v>每週資產核對</x:v>
      </x:c>
      <x:c r="B27" s="84"/>
      <x:c r="C27" s="84"/>
      <x:c r="D27" s="84"/>
      <x:c r="E27" s="85"/>
    </x:row>
    <x:row r="28" ht="30" customHeight="1">
      <x:c r="A28" s="18" t="str">
        <x:v>核對日</x:v>
      </x:c>
      <x:c r="B28" s="19" t="str">
        <x:v>現金</x:v>
      </x:c>
      <x:c r="C28" s="19" t="str">
        <x:v>投資資產</x:v>
      </x:c>
      <x:c r="D28" s="19" t="str">
        <x:v>負債</x:v>
      </x:c>
      <x:c r="E28" s="20" t="str">
        <x:v>備註</x:v>
      </x:c>
    </x:row>
    <x:row r="29">
      <x:c r="A29" s="22" t="n">
        <x:v>46243</x:v>
      </x:c>
      <x:c r="B29" s="78"/>
      <x:c r="C29" s="78"/>
      <x:c r="D29" s="78"/>
      <x:c r="E29" s="23"/>
    </x:row>
    <x:row r="30">
      <x:c r="A30" s="24" t="n">
        <x:v>46250</x:v>
      </x:c>
      <x:c r="B30" s="79"/>
      <x:c r="C30" s="79"/>
      <x:c r="D30" s="79"/>
      <x:c r="E30" s="25"/>
    </x:row>
    <x:row r="31">
      <x:c r="A31" s="24" t="n">
        <x:v>46257</x:v>
      </x:c>
      <x:c r="B31" s="79"/>
      <x:c r="C31" s="79"/>
      <x:c r="D31" s="79"/>
      <x:c r="E31" s="25"/>
    </x:row>
    <x:row r="32">
      <x:c r="A32" s="24" t="n">
        <x:v>46264</x:v>
      </x:c>
      <x:c r="B32" s="79"/>
      <x:c r="C32" s="79"/>
      <x:c r="D32" s="79"/>
      <x:c r="E32" s="25"/>
    </x:row>
    <x:row r="33">
      <x:c r="A33" s="26" t="n">
        <x:v>46267</x:v>
      </x:c>
      <x:c r="B33" s="80"/>
      <x:c r="C33" s="80"/>
      <x:c r="D33" s="80"/>
      <x:c r="E33" s="27"/>
    </x:row>
    <x:row r="35">
      <x:c r="A35" s="90" t="str">
        <x:v>資料來源：使用者於 2026-08-03 對話提供。210 萬歷史損失不列為待追回資產；本表只追蹤未來資金控制。</x:v>
      </x:c>
      <x:c r="B35" s="90"/>
      <x:c r="C35" s="90"/>
      <x:c r="D35" s="90"/>
      <x:c r="E35" s="90"/>
    </x:row>
    <x:row r="36">
      <x:c r="A36" s="90"/>
      <x:c r="B36" s="90"/>
      <x:c r="C36" s="90"/>
      <x:c r="D36" s="90"/>
      <x:c r="E36" s="90"/>
    </x:row>
  </x:sheetData>
  <x:mergeCells>
    <x:mergeCell ref="A1:E1"/>
    <x:mergeCell ref="A2:E2"/>
    <x:mergeCell ref="A12:C12"/>
    <x:mergeCell ref="A27:E27"/>
    <x:mergeCell ref="A35:E36"/>
  </x:mergeCells>
  <x:dataValidations count="1">
    <x:dataValidation type="decimal" operator="between" sqref="B14:B25">
      <x:formula1>0</x:formula1>
      <x:formula2>10000000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3" hidden="0" customWidth="1"/>
    <x:col min="10" max="10" width="23" hidden="0" customWidth="1"/>
    <x:col min="11" max="11" width="23" hidden="0" customWidth="1"/>
  </x:cols>
  <x:sheetData>
    <x:row r="1" ht="34" customHeight="1">
      <x:c r="A1" s="3" t="str">
        <x:v>每週檢討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6" t="str">
        <x:v>第 4 週涵蓋最後 9 天；黃色欄位由你自行填寫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 ht="30" customHeight="1">
      <x:c r="A4" s="18" t="str">
        <x:v>週期</x:v>
      </x:c>
      <x:c r="B4" s="19" t="str">
        <x:v>開始日</x:v>
      </x:c>
      <x:c r="C4" s="19" t="str">
        <x:v>結束日</x:v>
      </x:c>
      <x:c r="D4" s="19" t="str">
        <x:v>零下注天數</x:v>
      </x:c>
      <x:c r="E4" s="19" t="str">
        <x:v>重訓次數</x:v>
      </x:c>
      <x:c r="F4" s="19" t="str">
        <x:v>散步分鐘</x:v>
      </x:c>
      <x:c r="G4" s="19" t="str">
        <x:v>平均衝動</x:v>
      </x:c>
      <x:c r="H4" s="19" t="str">
        <x:v>違規次數</x:v>
      </x:c>
      <x:c r="I4" s="19" t="str">
        <x:v>本週最強觸發</x:v>
      </x:c>
      <x:c r="J4" s="19" t="str">
        <x:v>有效替代方法</x:v>
      </x:c>
      <x:c r="K4" s="20" t="str">
        <x:v>下週修正</x:v>
      </x:c>
    </x:row>
    <x:row r="5" ht="48" customHeight="1">
      <x:c r="A5" s="110" t="str">
        <x:v>第 1 週</x:v>
      </x:c>
      <x:c r="B5" s="111" t="n">
        <x:v>46238</x:v>
      </x:c>
      <x:c r="C5" s="111" t="n">
        <x:v>46244</x:v>
      </x:c>
      <x:c r="D5" s="112" t="n">
        <x:f>COUNTIFS('每日檢核'!$A$5:$A$34,"&gt;="&amp;B5,'每日檢核'!$A$5:$A$34,"&lt;="&amp;C5,'每日檢核'!$B$5:$B$34,"是")</x:f>
        <x:v>5</x:v>
      </x:c>
      <x:c r="E5" s="112" t="n">
        <x:f>COUNTIFS('每日檢核'!$A$5:$A$34,"&gt;="&amp;B5,'每日檢核'!$A$5:$A$34,"&lt;="&amp;C5,'每日檢核'!$G$5:$G$34,"是")</x:f>
        <x:v>2</x:v>
      </x:c>
      <x:c r="F5" s="112" t="n">
        <x:f>SUMIFS('每日檢核'!$H$5:$H$34,'每日檢核'!$A$5:$A$34,"&gt;="&amp;B5,'每日檢核'!$A$5:$A$34,"&lt;="&amp;C5)</x:f>
        <x:v>60</x:v>
      </x:c>
      <x:c r="G5" s="113" t="n">
        <x:f>IFERROR(AVERAGEIFS('每日檢核'!$D$5:$D$34,'每日檢核'!$A$5:$A$34,"&gt;="&amp;B5,'每日檢核'!$A$5:$A$34,"&lt;="&amp;C5),0)</x:f>
        <x:v>0</x:v>
      </x:c>
      <x:c r="H5" s="112" t="n">
        <x:f>COUNTIFS('每日檢核'!$A$5:$A$34,"&gt;="&amp;B5,'每日檢核'!$A$5:$A$34,"&lt;="&amp;C5,'每日檢核'!$B$5:$B$34,"否")+COUNTIFS('每日檢核'!$A$5:$A$34,"&gt;="&amp;B5,'每日檢核'!$A$5:$A$34,"&lt;="&amp;C5,'每日檢核'!$C$5:$C$34,"是")</x:f>
        <x:v>0</x:v>
      </x:c>
      <x:c r="I5" s="122"/>
      <x:c r="J5" s="122"/>
      <x:c r="K5" s="123"/>
    </x:row>
    <x:row r="6" ht="48" customHeight="1">
      <x:c r="A6" s="114" t="str">
        <x:v>第 2 週</x:v>
      </x:c>
      <x:c r="B6" s="115" t="n">
        <x:v>46245</x:v>
      </x:c>
      <x:c r="C6" s="115" t="n">
        <x:v>46251</x:v>
      </x:c>
      <x:c r="D6" s="116" t="n">
        <x:f>COUNTIFS('每日檢核'!$A$5:$A$34,"&gt;="&amp;B6,'每日檢核'!$A$5:$A$34,"&lt;="&amp;C6,'每日檢核'!$B$5:$B$34,"是")</x:f>
        <x:v>0</x:v>
      </x:c>
      <x:c r="E6" s="116" t="n">
        <x:f>COUNTIFS('每日檢核'!$A$5:$A$34,"&gt;="&amp;B6,'每日檢核'!$A$5:$A$34,"&lt;="&amp;C6,'每日檢核'!$G$5:$G$34,"是")</x:f>
        <x:v>0</x:v>
      </x:c>
      <x:c r="F6" s="116" t="n">
        <x:f>SUMIFS('每日檢核'!$H$5:$H$34,'每日檢核'!$A$5:$A$34,"&gt;="&amp;B6,'每日檢核'!$A$5:$A$34,"&lt;="&amp;C6)</x:f>
        <x:v>0</x:v>
      </x:c>
      <x:c r="G6" s="117" t="n">
        <x:f>IFERROR(AVERAGEIFS('每日檢核'!$D$5:$D$34,'每日檢核'!$A$5:$A$34,"&gt;="&amp;B6,'每日檢核'!$A$5:$A$34,"&lt;="&amp;C6),0)</x:f>
        <x:v>0</x:v>
      </x:c>
      <x:c r="H6" s="116" t="n">
        <x:f>COUNTIFS('每日檢核'!$A$5:$A$34,"&gt;="&amp;B6,'每日檢核'!$A$5:$A$34,"&lt;="&amp;C6,'每日檢核'!$B$5:$B$34,"否")+COUNTIFS('每日檢核'!$A$5:$A$34,"&gt;="&amp;B6,'每日檢核'!$A$5:$A$34,"&lt;="&amp;C6,'每日檢核'!$C$5:$C$34,"是")</x:f>
        <x:v>0</x:v>
      </x:c>
      <x:c r="I6" s="124"/>
      <x:c r="J6" s="124"/>
      <x:c r="K6" s="125"/>
    </x:row>
    <x:row r="7" ht="48" customHeight="1">
      <x:c r="A7" s="114" t="str">
        <x:v>第 3 週</x:v>
      </x:c>
      <x:c r="B7" s="115" t="n">
        <x:v>46252</x:v>
      </x:c>
      <x:c r="C7" s="115" t="n">
        <x:v>46258</x:v>
      </x:c>
      <x:c r="D7" s="116" t="n">
        <x:f>COUNTIFS('每日檢核'!$A$5:$A$34,"&gt;="&amp;B7,'每日檢核'!$A$5:$A$34,"&lt;="&amp;C7,'每日檢核'!$B$5:$B$34,"是")</x:f>
        <x:v>0</x:v>
      </x:c>
      <x:c r="E7" s="116" t="n">
        <x:f>COUNTIFS('每日檢核'!$A$5:$A$34,"&gt;="&amp;B7,'每日檢核'!$A$5:$A$34,"&lt;="&amp;C7,'每日檢核'!$G$5:$G$34,"是")</x:f>
        <x:v>0</x:v>
      </x:c>
      <x:c r="F7" s="116" t="n">
        <x:f>SUMIFS('每日檢核'!$H$5:$H$34,'每日檢核'!$A$5:$A$34,"&gt;="&amp;B7,'每日檢核'!$A$5:$A$34,"&lt;="&amp;C7)</x:f>
        <x:v>0</x:v>
      </x:c>
      <x:c r="G7" s="117" t="n">
        <x:f>IFERROR(AVERAGEIFS('每日檢核'!$D$5:$D$34,'每日檢核'!$A$5:$A$34,"&gt;="&amp;B7,'每日檢核'!$A$5:$A$34,"&lt;="&amp;C7),0)</x:f>
        <x:v>0</x:v>
      </x:c>
      <x:c r="H7" s="116" t="n">
        <x:f>COUNTIFS('每日檢核'!$A$5:$A$34,"&gt;="&amp;B7,'每日檢核'!$A$5:$A$34,"&lt;="&amp;C7,'每日檢核'!$B$5:$B$34,"否")+COUNTIFS('每日檢核'!$A$5:$A$34,"&gt;="&amp;B7,'每日檢核'!$A$5:$A$34,"&lt;="&amp;C7,'每日檢核'!$C$5:$C$34,"是")</x:f>
        <x:v>0</x:v>
      </x:c>
      <x:c r="I7" s="124"/>
      <x:c r="J7" s="124"/>
      <x:c r="K7" s="125"/>
    </x:row>
    <x:row r="8" ht="48" customHeight="1">
      <x:c r="A8" s="118" t="str">
        <x:v>第 4 週</x:v>
      </x:c>
      <x:c r="B8" s="119" t="n">
        <x:v>46259</x:v>
      </x:c>
      <x:c r="C8" s="119" t="n">
        <x:v>46267</x:v>
      </x:c>
      <x:c r="D8" s="120" t="n">
        <x:f>COUNTIFS('每日檢核'!$A$5:$A$34,"&gt;="&amp;B8,'每日檢核'!$A$5:$A$34,"&lt;="&amp;C8,'每日檢核'!$B$5:$B$34,"是")</x:f>
        <x:v>0</x:v>
      </x:c>
      <x:c r="E8" s="120" t="n">
        <x:f>COUNTIFS('每日檢核'!$A$5:$A$34,"&gt;="&amp;B8,'每日檢核'!$A$5:$A$34,"&lt;="&amp;C8,'每日檢核'!$G$5:$G$34,"是")</x:f>
        <x:v>0</x:v>
      </x:c>
      <x:c r="F8" s="120" t="n">
        <x:f>SUMIFS('每日檢核'!$H$5:$H$34,'每日檢核'!$A$5:$A$34,"&gt;="&amp;B8,'每日檢核'!$A$5:$A$34,"&lt;="&amp;C8)</x:f>
        <x:v>0</x:v>
      </x:c>
      <x:c r="G8" s="121" t="n">
        <x:f>IFERROR(AVERAGEIFS('每日檢核'!$D$5:$D$34,'每日檢核'!$A$5:$A$34,"&gt;="&amp;B8,'每日檢核'!$A$5:$A$34,"&lt;="&amp;C8),0)</x:f>
        <x:v>0</x:v>
      </x:c>
      <x:c r="H8" s="120" t="n">
        <x:f>COUNTIFS('每日檢核'!$A$5:$A$34,"&gt;="&amp;B8,'每日檢核'!$A$5:$A$34,"&lt;="&amp;C8,'每日檢核'!$B$5:$B$34,"否")+COUNTIFS('每日檢核'!$A$5:$A$34,"&gt;="&amp;B8,'每日檢核'!$A$5:$A$34,"&lt;="&amp;C8,'每日檢核'!$C$5:$C$34,"是")</x:f>
        <x:v>0</x:v>
      </x:c>
      <x:c r="I8" s="126"/>
      <x:c r="J8" s="126"/>
      <x:c r="K8" s="127"/>
    </x:row>
  </x:sheetData>
  <x:mergeCells>
    <x:mergeCell ref="A1:K1"/>
    <x:mergeCell ref="A2:K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3" t="str">
        <x:v>規則與身份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這一頁不是勵志語錄；它是復發時必須照做的決策邊界</x:v>
      </x:c>
      <x:c r="B2" s="6"/>
      <x:c r="C2" s="6"/>
      <x:c r="D2" s="6"/>
      <x:c r="E2" s="6"/>
      <x:c r="F2" s="6"/>
      <x:c r="G2" s="6"/>
      <x:c r="H2" s="6"/>
    </x:row>
    <x:row r="4">
      <x:c r="A4" s="83" t="str">
        <x:v>身份重建</x:v>
      </x:c>
      <x:c r="B4" s="84"/>
      <x:c r="C4" s="84"/>
      <x:c r="D4" s="84"/>
      <x:c r="E4" s="84"/>
      <x:c r="F4" s="84"/>
      <x:c r="G4" s="84"/>
      <x:c r="H4" s="85"/>
    </x:row>
    <x:row r="5" ht="42" customHeight="1">
      <x:c r="A5" s="132" t="str">
        <x:v>舊身份</x:v>
      </x:c>
      <x:c r="B5" s="133" t="str">
        <x:v>我夠聰明，可以私下把損失贏回來；只要還有翻本機會，就不必承認失控。</x:v>
      </x:c>
      <x:c r="C5" s="133"/>
      <x:c r="D5" s="133"/>
      <x:c r="E5" s="133"/>
      <x:c r="F5" s="133"/>
      <x:c r="G5" s="133"/>
      <x:c r="H5" s="133"/>
    </x:row>
    <x:row r="6" ht="42" customHeight="1">
      <x:c r="A6" s="134" t="str">
        <x:v>五年反願景</x:v>
      </x:c>
      <x:c r="B6" s="135" t="str">
        <x:v>40 歲仍靠下注取得刺激、資產停滯並繼續隱瞞損失，睡前問自己：我到底在幹嘛？</x:v>
      </x:c>
      <x:c r="C6" s="135"/>
      <x:c r="D6" s="135"/>
      <x:c r="E6" s="135"/>
      <x:c r="F6" s="135"/>
      <x:c r="G6" s="135"/>
      <x:c r="H6" s="135"/>
    </x:row>
    <x:row r="7" ht="42" customHeight="1">
      <x:c r="A7" s="134" t="str">
        <x:v>新身份</x:v>
      </x:c>
      <x:c r="B7" s="135" t="str">
        <x:v>我是用可驗證行為保護資本的人；刺激不能碰我的資產。</x:v>
      </x:c>
      <x:c r="C7" s="135"/>
      <x:c r="D7" s="135"/>
      <x:c r="E7" s="135"/>
      <x:c r="F7" s="135"/>
      <x:c r="G7" s="135"/>
      <x:c r="H7" s="135"/>
    </x:row>
    <x:row r="8" ht="42" customHeight="1">
      <x:c r="A8" s="136" t="str">
        <x:v>30 天唯一目標</x:v>
      </x:c>
      <x:c r="B8" s="137" t="str">
        <x:v>連續 30 天不以真錢滿足翻本衝動，重新取得對資金與晚間生活的控制。</x:v>
      </x:c>
      <x:c r="C8" s="137"/>
      <x:c r="D8" s="137"/>
      <x:c r="E8" s="137"/>
      <x:c r="F8" s="137"/>
      <x:c r="G8" s="137"/>
      <x:c r="H8" s="137"/>
    </x:row>
    <x:row r="10">
      <x:c r="A10" s="83" t="str">
        <x:v>不可談判規則</x:v>
      </x:c>
      <x:c r="B10" s="84"/>
      <x:c r="C10" s="84"/>
      <x:c r="D10" s="84"/>
      <x:c r="E10" s="84"/>
      <x:c r="F10" s="84"/>
      <x:c r="G10" s="84"/>
      <x:c r="H10" s="85"/>
    </x:row>
    <x:row r="11" ht="30" customHeight="1">
      <x:c r="A11" s="43" t="str">
        <x:v>1. 運彩、期貨實盤、prop firm 帳號、充值與替代帳戶交易全部為零。</x:v>
      </x:c>
      <x:c r="B11" s="43"/>
      <x:c r="C11" s="43"/>
      <x:c r="D11" s="43"/>
      <x:c r="E11" s="43"/>
      <x:c r="F11" s="43"/>
      <x:c r="G11" s="43"/>
      <x:c r="H11" s="43"/>
    </x:row>
    <x:row r="12" ht="30" customHeight="1">
      <x:c r="A12" s="44" t="str">
        <x:v>2. 不主動查看盤口、預測推文、交易直播或請 AI 分析勝率。</x:v>
      </x:c>
      <x:c r="B12" s="44"/>
      <x:c r="C12" s="44"/>
      <x:c r="D12" s="44"/>
      <x:c r="E12" s="44"/>
      <x:c r="F12" s="44"/>
      <x:c r="G12" s="44"/>
      <x:c r="H12" s="44"/>
    </x:row>
    <x:row r="13" ht="30" customHeight="1">
      <x:c r="A13" s="44" t="str">
        <x:v>3. 210 萬是已結束的代價，不設定追回期限。</x:v>
      </x:c>
      <x:c r="B13" s="44"/>
      <x:c r="C13" s="44"/>
      <x:c r="D13" s="44"/>
      <x:c r="E13" s="44"/>
      <x:c r="F13" s="44"/>
      <x:c r="G13" s="44"/>
      <x:c r="H13" s="44"/>
    </x:row>
    <x:row r="14" ht="30" customHeight="1">
      <x:c r="A14" s="44" t="str">
        <x:v>4. 入薪後轉存 80,000 元；現金緩衝先達到 121,200 元。</x:v>
      </x:c>
      <x:c r="B14" s="44"/>
      <x:c r="C14" s="44"/>
      <x:c r="D14" s="44"/>
      <x:c r="E14" s="44"/>
      <x:c r="F14" s="44"/>
      <x:c r="G14" s="44"/>
      <x:c r="H14" s="44"/>
    </x:row>
    <x:row r="15" ht="30" customHeight="1">
      <x:c r="A15" s="45" t="str">
        <x:v>5. 任何一次下注都算違規，不追損、不重寫規則，剩餘天數仍繼續執行。</x:v>
      </x:c>
      <x:c r="B15" s="45"/>
      <x:c r="C15" s="45"/>
      <x:c r="D15" s="45"/>
      <x:c r="E15" s="45"/>
      <x:c r="F15" s="45"/>
      <x:c r="G15" s="45"/>
      <x:c r="H15" s="45"/>
    </x:row>
    <x:row r="17">
      <x:c r="A17" s="83" t="str">
        <x:v>明日三件事</x:v>
      </x:c>
      <x:c r="B17" s="84"/>
      <x:c r="C17" s="84"/>
      <x:c r="D17" s="84"/>
      <x:c r="E17" s="84"/>
      <x:c r="F17" s="84"/>
      <x:c r="G17" s="84"/>
      <x:c r="H17" s="85"/>
    </x:row>
    <x:row r="18" ht="34" customHeight="1">
      <x:c r="A18" s="147" t="str">
        <x:v>1. 封閉資金入口：暫停運彩、終止 Tradeify、刪除 App、移除付款資料與取消盤口內容。</x:v>
      </x:c>
      <x:c r="B18" s="147"/>
      <x:c r="C18" s="147"/>
      <x:c r="D18" s="147"/>
      <x:c r="E18" s="147"/>
      <x:c r="F18" s="147"/>
      <x:c r="G18" s="147"/>
      <x:c r="H18" s="147"/>
    </x:row>
    <x:row r="19" ht="34" customHeight="1">
      <x:c r="A19" s="148" t="str">
        <x:v>2. 建立資金防線：設定入薪後自動轉存 80,000 元，寫下『210 萬已結束，不靠下注追回』。</x:v>
      </x:c>
      <x:c r="B19" s="148"/>
      <x:c r="C19" s="148"/>
      <x:c r="D19" s="148"/>
      <x:c r="E19" s="148"/>
      <x:c r="F19" s="148"/>
      <x:c r="G19" s="148"/>
      <x:c r="H19" s="148"/>
    </x:row>
    <x:row r="20" ht="34" customHeight="1">
      <x:c r="A20" s="149" t="str">
        <x:v>3. 建立晚間替代：完成第一次全身重訓，寫第一筆日誌，再散步或看一集影集。</x:v>
      </x:c>
      <x:c r="B20" s="149"/>
      <x:c r="C20" s="149"/>
      <x:c r="D20" s="149"/>
      <x:c r="E20" s="149"/>
      <x:c r="F20" s="149"/>
      <x:c r="G20" s="149"/>
      <x:c r="H20" s="149"/>
    </x:row>
    <x:row r="22">
      <x:c r="A22" s="83" t="str">
        <x:v>違規處理與求助</x:v>
      </x:c>
      <x:c r="B22" s="84"/>
      <x:c r="C22" s="84"/>
      <x:c r="D22" s="84"/>
      <x:c r="E22" s="84"/>
      <x:c r="F22" s="84"/>
      <x:c r="G22" s="84"/>
      <x:c r="H22" s="85"/>
    </x:row>
    <x:row r="23" ht="32" customHeight="1">
      <x:c r="A23" s="157" t="str">
        <x:v>立即停止，不追損；記錄金額、觸發點與使用管道。</x:v>
      </x:c>
      <x:c r="B23" s="157"/>
      <x:c r="C23" s="157"/>
      <x:c r="D23" s="157"/>
      <x:c r="E23" s="157"/>
      <x:c r="F23" s="157"/>
      <x:c r="G23" s="157"/>
      <x:c r="H23" s="157"/>
    </x:row>
    <x:row r="24" ht="32" customHeight="1">
      <x:c r="A24" s="158" t="str">
        <x:v>當天聯絡台灣運彩客服暫停投注：02-2791-0988。</x:v>
      </x:c>
      <x:c r="B24" s="158"/>
      <x:c r="C24" s="158"/>
      <x:c r="D24" s="158"/>
      <x:c r="E24" s="158"/>
      <x:c r="F24" s="158"/>
      <x:c r="G24" s="158"/>
      <x:c r="H24" s="158"/>
    </x:row>
    <x:row r="25" ht="32" customHeight="1">
      <x:c r="A25" s="158" t="str">
        <x:v>下一工作日預約專業協助：張老師 1980；松德院區博弈門診 02-2720-8889 轉 888。</x:v>
      </x:c>
      <x:c r="B25" s="158"/>
      <x:c r="C25" s="158"/>
      <x:c r="D25" s="158"/>
      <x:c r="E25" s="158"/>
      <x:c r="F25" s="158"/>
      <x:c r="G25" s="158"/>
      <x:c r="H25" s="158"/>
    </x:row>
    <x:row r="26" ht="32" customHeight="1">
      <x:c r="A26" s="159" t="str">
        <x:v>官方節制投注資料：https://article.sportslottery.com.tw/zh-tw/declaration/98?iframe</x:v>
      </x:c>
      <x:c r="B26" s="159"/>
      <x:c r="C26" s="159"/>
      <x:c r="D26" s="159"/>
      <x:c r="E26" s="159"/>
      <x:c r="F26" s="159"/>
      <x:c r="G26" s="159"/>
      <x:c r="H26" s="159"/>
    </x:row>
  </x:sheetData>
  <x:mergeCells>
    <x:mergeCell ref="A1:H1"/>
    <x:mergeCell ref="A2:H2"/>
    <x:mergeCell ref="A4:H4"/>
    <x:mergeCell ref="B5:H5"/>
    <x:mergeCell ref="B6:H6"/>
    <x:mergeCell ref="B7:H7"/>
    <x:mergeCell ref="B8:H8"/>
    <x:mergeCell ref="A10:H10"/>
    <x:mergeCell ref="A11:H11"/>
    <x:mergeCell ref="A12:H12"/>
    <x:mergeCell ref="A13:H13"/>
    <x:mergeCell ref="A14:H14"/>
    <x:mergeCell ref="A15:H15"/>
    <x:mergeCell ref="A17:H17"/>
    <x:mergeCell ref="A18:H18"/>
    <x:mergeCell ref="A19:H19"/>
    <x:mergeCell ref="A20:H20"/>
    <x:mergeCell ref="A22:H22"/>
    <x:mergeCell ref="A23:H23"/>
    <x:mergeCell ref="A24:H24"/>
    <x:mergeCell ref="A25:H25"/>
    <x:mergeCell ref="A26:H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0" hidden="0" customWidth="1"/>
    <x:col min="3" max="3" width="18.1299991607666" hidden="0" customWidth="1"/>
    <x:col min="4" max="4" width="31.8799991607666" hidden="0" customWidth="1"/>
    <x:col min="5" max="5" width="13.75" hidden="0" customWidth="1"/>
    <x:col min="6" max="6" width="13.75" hidden="0" customWidth="1"/>
    <x:col min="7" max="7" width="41.880001068115234" hidden="0" customWidth="1"/>
    <x:col min="8" max="8" width="0.3799999952316284" hidden="0" customWidth="1"/>
    <x:col min="9" max="9" width="0.3799999952316284" hidden="0" customWidth="1"/>
  </x:cols>
  <x:sheetData>
    <x:row r="1" ht="34" customHeight="1">
      <x:c r="A1" s="180" t="str">
        <x:v>飲食紀錄</x:v>
      </x:c>
      <x:c r="B1" s="180"/>
      <x:c r="C1" s="180"/>
      <x:c r="D1" s="180"/>
      <x:c r="E1" s="180"/>
      <x:c r="F1" s="180"/>
      <x:c r="G1" s="180"/>
    </x:row>
    <x:row r="2" ht="26" customHeight="1">
      <x:c r="A2" s="183" t="str">
        <x:v>只記實際吃的內容；未提供份量、飽足感或熱量時保持空白，不自行猜測</x:v>
      </x:c>
      <x:c r="B2" s="183"/>
      <x:c r="C2" s="183"/>
      <x:c r="D2" s="183"/>
      <x:c r="E2" s="183"/>
      <x:c r="F2" s="183"/>
      <x:c r="G2" s="183"/>
    </x:row>
    <x:row r="4" ht="30" customHeight="1">
      <x:c r="A4" s="333" t="str">
        <x:v>日期</x:v>
      </x:c>
      <x:c r="B4" s="334" t="str">
        <x:v>餐別</x:v>
      </x:c>
      <x:c r="C4" s="334" t="str">
        <x:v>餐廳／來源</x:v>
      </x:c>
      <x:c r="D4" s="334" t="str">
        <x:v>餐點內容</x:v>
      </x:c>
      <x:c r="E4" s="359" t="str">
        <x:v>蛋白質（g）</x:v>
      </x:c>
      <x:c r="F4" s="357" t="str">
        <x:v>熱量（kcal）</x:v>
      </x:c>
      <x:c r="G4" s="358" t="str">
        <x:v>備註</x:v>
      </x:c>
      <x:c r="H4"/>
      <x:c r="I4"/>
    </x:row>
    <x:row r="5" ht="25.5" customHeight="1">
      <x:c r="A5" s="37" t="n">
        <x:v>46237</x:v>
      </x:c>
      <x:c r="B5" s="38" t="str">
        <x:v>早餐</x:v>
      </x:c>
      <x:c r="C5" s="32"/>
      <x:c r="D5" s="360" t="str">
        <x:v>培根蛋吐司、雞塊</x:v>
      </x:c>
      <x:c r="E5" s="362" t="n">
        <x:v>30</x:v>
      </x:c>
      <x:c r="F5" s="362" t="n">
        <x:v>750</x:v>
      </x:c>
      <x:c r="G5" s="380" t="str">
        <x:v>估算：早餐店培根蛋吐司＋一份雞塊；實際份量未提供。</x:v>
      </x:c>
      <x:c r="H5"/>
      <x:c r="I5"/>
    </x:row>
    <x:row r="6" ht="25.5" customHeight="1">
      <x:c r="A6" s="39" t="n">
        <x:v>46237</x:v>
      </x:c>
      <x:c r="B6" s="40" t="str">
        <x:v>午餐</x:v>
      </x:c>
      <x:c r="C6" s="34"/>
      <x:c r="D6" s="44" t="str">
        <x:v>未進食</x:v>
      </x:c>
      <x:c r="E6" s="367" t="n">
        <x:v>0</x:v>
      </x:c>
      <x:c r="F6" s="367" t="n">
        <x:v>0</x:v>
      </x:c>
      <x:c r="G6" s="381"/>
      <x:c r="H6"/>
      <x:c r="I6"/>
    </x:row>
    <x:row r="7" ht="25.5" customHeight="1">
      <x:c r="A7" s="39" t="n">
        <x:v>46237</x:v>
      </x:c>
      <x:c r="B7" s="40" t="str">
        <x:v>晚餐</x:v>
      </x:c>
      <x:c r="C7" s="34" t="str">
        <x:v>樂晴牛排館</x:v>
      </x:c>
      <x:c r="D7" s="363" t="str">
        <x:v>牛排、雞排、酥皮濃湯</x:v>
      </x:c>
      <x:c r="E7" s="365" t="n">
        <x:v>95</x:v>
      </x:c>
      <x:c r="F7" s="365" t="n">
        <x:v>1450</x:v>
      </x:c>
      <x:c r="G7" s="382" t="str">
        <x:v>估算：樂晴牛排館雙排餐＋酥皮濃湯；依常見份量計。</x:v>
      </x:c>
      <x:c r="H7"/>
      <x:c r="I7"/>
    </x:row>
    <x:row r="8" ht="25.5" customHeight="1">
      <x:c r="A8" s="39" t="n">
        <x:v>46238</x:v>
      </x:c>
      <x:c r="B8" s="40" t="str">
        <x:v>早餐</x:v>
      </x:c>
      <x:c r="C8" s="34" t="str">
        <x:v>7-ELEVEN（711）</x:v>
      </x:c>
      <x:c r="D8" s="363" t="str">
        <x:v>地瓜、海鹽水煮蛋、雞胸肉</x:v>
      </x:c>
      <x:c r="E8" s="365" t="n">
        <x:v>33</x:v>
      </x:c>
      <x:c r="F8" s="365" t="n">
        <x:v>300</x:v>
      </x:c>
      <x:c r="G8" s="382" t="str">
        <x:v>估算：7-ELEVEN 地瓜＋水煮蛋＋雞胸；實際品項份量未提供。</x:v>
      </x:c>
      <x:c r="H8"/>
      <x:c r="I8"/>
    </x:row>
    <x:row r="9" ht="25.5" customHeight="1">
      <x:c r="A9" s="39" t="n">
        <x:v>46238</x:v>
      </x:c>
      <x:c r="B9" s="40" t="str">
        <x:v>午餐</x:v>
      </x:c>
      <x:c r="C9" s="34" t="str">
        <x:v>麥當勞</x:v>
      </x:c>
      <x:c r="D9" s="44" t="str">
        <x:v>大麥克、無糖可樂、小杯玉米湯、中薯</x:v>
      </x:c>
      <x:c r="E9" s="366" t="n">
        <x:v>30</x:v>
      </x:c>
      <x:c r="F9" s="366" t="n">
        <x:v>1042</x:v>
      </x:c>
      <x:c r="G9" s="383" t="str">
        <x:v>麥當勞營養資料估算：大麥克、中薯、小杯玉米湯、無糖可樂。</x:v>
      </x:c>
      <x:c r="H9"/>
      <x:c r="I9"/>
    </x:row>
    <x:row r="10" ht="25.5" customHeight="1">
      <x:c r="A10" s="39" t="n">
        <x:v>46238</x:v>
      </x:c>
      <x:c r="B10" s="40" t="str">
        <x:v>晚餐</x:v>
      </x:c>
      <x:c r="C10" s="34"/>
      <x:c r="D10" s="44" t="str">
        <x:v>雙倍雞肉飯，飯一半</x:v>
      </x:c>
      <x:c r="E10" s="366" t="n">
        <x:v>65</x:v>
      </x:c>
      <x:c r="F10" s="366" t="n">
        <x:v>850</x:v>
      </x:c>
      <x:c r="G10" s="383" t="str">
        <x:v>使用者回報：850 kcal、蛋白質 65 g。</x:v>
      </x:c>
      <x:c r="H10"/>
      <x:c r="I10"/>
    </x:row>
    <x:row r="11" ht="25.5" customHeight="1">
      <x:c r="A11" s="39" t="n">
        <x:v>46239</x:v>
      </x:c>
      <x:c r="B11" s="40" t="str">
        <x:v>早餐</x:v>
      </x:c>
      <x:c r="C11" s="34" t="str">
        <x:v>7-ELEVEN（711）</x:v>
      </x:c>
      <x:c r="D11" s="44" t="str">
        <x:v>御選肉鬆飯糰、雙蔬鮪魚飯糰</x:v>
      </x:c>
      <x:c r="E11" s="366" t="n">
        <x:v>10.7</x:v>
      </x:c>
      <x:c r="F11" s="366" t="n">
        <x:v>485</x:v>
      </x:c>
      <x:c r="G11" s="383" t="str">
        <x:v>包裝營養標示合計：251＋234 kcal；蛋白質 5.5＋5.2 g。</x:v>
      </x:c>
      <x:c r="H11"/>
      <x:c r="I11"/>
    </x:row>
    <x:row r="12" ht="25.5" customHeight="1">
      <x:c r="A12" s="39" t="n">
        <x:v>46239</x:v>
      </x:c>
      <x:c r="B12" s="40" t="str">
        <x:v>午餐</x:v>
      </x:c>
      <x:c r="C12" s="34"/>
      <x:c r="D12" s="44" t="str">
        <x:v>未進食</x:v>
      </x:c>
      <x:c r="E12" s="367" t="n">
        <x:v>0</x:v>
      </x:c>
      <x:c r="F12" s="367" t="n">
        <x:v>0</x:v>
      </x:c>
      <x:c r="G12" s="381"/>
      <x:c r="H12"/>
      <x:c r="I12"/>
    </x:row>
    <x:row r="13" ht="25.5" customHeight="1">
      <x:c r="A13" s="39" t="n">
        <x:v>46239</x:v>
      </x:c>
      <x:c r="B13" s="40" t="str">
        <x:v>晚餐</x:v>
      </x:c>
      <x:c r="C13" s="34" t="str">
        <x:v>鐵板燒</x:v>
      </x:c>
      <x:c r="D13" s="363" t="str">
        <x:v>松阪豬、嫩煎豆腐、豆芽菜、高麗菜、豆漿</x:v>
      </x:c>
      <x:c r="E13" s="365" t="n">
        <x:v>51</x:v>
      </x:c>
      <x:c r="F13" s="365" t="n">
        <x:v>714</x:v>
      </x:c>
      <x:c r="G13" s="382" t="str">
        <x:v>估算：鐵板燒松阪豬、豆腐、兩樣蔬菜與一瓶豆漿；豆漿採 144 kcal。</x:v>
      </x:c>
      <x:c r="H13"/>
      <x:c r="I13"/>
    </x:row>
    <x:row r="14" ht="25.5" customHeight="1">
      <x:c r="A14" s="39" t="n">
        <x:v>46240</x:v>
      </x:c>
      <x:c r="B14" s="40" t="str">
        <x:v>早餐</x:v>
      </x:c>
      <x:c r="C14" s="34" t="str">
        <x:v>全家便利商店</x:v>
      </x:c>
      <x:c r="D14" s="363" t="str">
        <x:v>豆漿、地瓜、雞胸肉</x:v>
      </x:c>
      <x:c r="E14" s="365" t="n">
        <x:v>40</x:v>
      </x:c>
      <x:c r="F14" s="365" t="n">
        <x:v>394</x:v>
      </x:c>
      <x:c r="G14" s="382" t="str">
        <x:v>估算：全家豆漿、地瓜、雞胸；豆漿採使用者提供的 144 kcal。</x:v>
      </x:c>
    </x:row>
    <x:row r="15" ht="25.5" customHeight="1">
      <x:c r="A15" s="39" t="n">
        <x:v>46240</x:v>
      </x:c>
      <x:c r="B15" s="40" t="str">
        <x:v>午餐</x:v>
      </x:c>
      <x:c r="C15" s="34"/>
      <x:c r="D15" s="363" t="str">
        <x:v>乳清蛋白粉 40g</x:v>
      </x:c>
      <x:c r="E15" s="365" t="n">
        <x:v>30</x:v>
      </x:c>
      <x:c r="F15" s="365" t="n">
        <x:v>160</x:v>
      </x:c>
      <x:c r="G15" s="382" t="str">
        <x:v>估算：未提供品牌營養標示，按乳清粉 40g 約含蛋白質 30g、160 kcal 計。</x:v>
      </x:c>
    </x:row>
    <x:row r="16" ht="30" customHeight="1">
      <x:c r="A16" s="39" t="n">
        <x:v>46240</x:v>
      </x:c>
      <x:c r="B16" s="40" t="str">
        <x:v>晚餐</x:v>
      </x:c>
      <x:c r="C16" s="34"/>
      <x:c r="D16" s="363" t="str">
        <x:v>炸雞排、炸杏鮑菇、炸魷魚</x:v>
      </x:c>
      <x:c r="E16" s="365" t="n">
        <x:v>54</x:v>
      </x:c>
      <x:c r="F16" s="365" t="n">
        <x:v>1054</x:v>
      </x:c>
      <x:c r="G16" s="382" t="str">
        <x:v>估算：炸雞排 630、炸杏鮑菇 174、炸魷魚 250 kcal；實際份量與裹粉用油不同會有差異。</x:v>
      </x:c>
    </x:row>
    <x:row r="17" ht="36" customHeight="1">
      <x:c r="A17" s="39" t="n">
        <x:v>46241</x:v>
      </x:c>
      <x:c r="B17" s="40" t="str">
        <x:v>早餐</x:v>
      </x:c>
      <x:c r="C17" s="34"/>
      <x:c r="D17" s="389" t="str">
        <x:v>地瓜、雞胸肉</x:v>
      </x:c>
      <x:c r="E17" s="390" t="n">
        <x:v>27</x:v>
      </x:c>
      <x:c r="F17" s="390" t="n">
        <x:v>250</x:v>
      </x:c>
      <x:c r="G17" s="384" t="str">
        <x:v>估算：依固定設定；地瓜 2g 蛋白質、雞胸肉 25g 蛋白質。</x:v>
      </x:c>
    </x:row>
    <x:row r="18" ht="36" customHeight="1">
      <x:c r="A18" s="39" t="n">
        <x:v>46241</x:v>
      </x:c>
      <x:c r="B18" s="40" t="str">
        <x:v>午餐</x:v>
      </x:c>
      <x:c r="C18" s="34"/>
      <x:c r="D18" s="389" t="str">
        <x:v>乳清蛋白粉 40g</x:v>
      </x:c>
      <x:c r="E18" s="390" t="n">
        <x:v>30</x:v>
      </x:c>
      <x:c r="F18" s="390" t="n">
        <x:v>160</x:v>
      </x:c>
      <x:c r="G18" s="384" t="str">
        <x:v>估算：未提供品牌營養標示，按乳清粉 40g 約含蛋白質 30g、160 kcal 計。</x:v>
      </x:c>
    </x:row>
    <x:row r="19" ht="36" customHeight="1">
      <x:c r="A19" s="39" t="n">
        <x:v>46241</x:v>
      </x:c>
      <x:c r="B19" s="40" t="str">
        <x:v>晚餐</x:v>
      </x:c>
      <x:c r="C19" s="34" t="str">
        <x:v>火鍋</x:v>
      </x:c>
      <x:c r="D19" s="389" t="str">
        <x:v>肉片約 15 片、蔬菜</x:v>
      </x:c>
      <x:c r="E19" s="390" t="n">
        <x:v>45</x:v>
      </x:c>
      <x:c r="F19" s="390" t="n">
        <x:v>650</x:v>
      </x:c>
      <x:c r="G19" s="384" t="str">
        <x:v>估算：未提供肉種與重量，按一般火鍋肉片約 225g 加蔬菜計。</x:v>
      </x:c>
    </x:row>
    <x:row r="20" ht="36" customHeight="1">
      <x:c r="A20" s="39" t="n">
        <x:v>46242</x:v>
      </x:c>
      <x:c r="B20" s="40" t="str">
        <x:v>早餐</x:v>
      </x:c>
      <x:c r="C20" s="34"/>
      <x:c r="D20" s="389" t="str">
        <x:v>地瓜、雞胸肉</x:v>
      </x:c>
      <x:c r="E20" s="390" t="n">
        <x:v>32</x:v>
      </x:c>
      <x:c r="F20" s="390" t="n">
        <x:v>285</x:v>
      </x:c>
      <x:c r="G20" s="384" t="str">
        <x:v>雞胸肉蛋白質採使用者回報 30g；地瓜沿用 2g。熱量按一般份量估算。</x:v>
      </x:c>
    </x:row>
    <x:row r="21" ht="36" customHeight="1">
      <x:c r="A21" s="39" t="n">
        <x:v>46242</x:v>
      </x:c>
      <x:c r="B21" s="40" t="str">
        <x:v>午餐</x:v>
      </x:c>
      <x:c r="C21" s="34"/>
      <x:c r="D21" s="389" t="str">
        <x:v>乳清蛋白粉 60g、豆漿</x:v>
      </x:c>
      <x:c r="E21" s="390" t="n">
        <x:v>58</x:v>
      </x:c>
      <x:c r="F21" s="390" t="n">
        <x:v>384</x:v>
      </x:c>
      <x:c r="G21" s="384" t="str">
        <x:v>乳清按 60g 粉估算蛋白質 45g、240 kcal；豆漿沿用 13g、144 kcal。</x:v>
      </x:c>
    </x:row>
    <x:row r="22" ht="40.5" customHeight="1">
      <x:c r="A22" s="39" t="n">
        <x:v>46242</x:v>
      </x:c>
      <x:c r="B22" s="40" t="str">
        <x:v>晚餐</x:v>
      </x:c>
      <x:c r="C22" s="34" t="str">
        <x:v>好食多涮涮鍋</x:v>
      </x:c>
      <x:c r="D22" s="395" t="str">
        <x:v>昆布鍋、12 盎司增肌減脂肉片、活鮑魚 3 個、白飯 1 碗</x:v>
      </x:c>
      <x:c r="E22" s="396" t="n">
        <x:v>82</x:v>
      </x:c>
      <x:c r="F22" s="396" t="n">
        <x:v>850</x:v>
      </x:c>
      <x:c r="G22" s="384" t="str">
        <x:v>估算：12 盎司約 340g。肉種與醬料未提供；依低脂火鍋肉片、鮑魚與白飯估算，未另計菜盤。</x:v>
      </x:c>
    </x:row>
    <x:row r="23">
      <x:c r="A23" s="199"/>
      <x:c r="B23" s="40"/>
      <x:c r="C23" s="34"/>
      <x:c r="D23" s="44"/>
      <x:c r="E23" s="291"/>
      <x:c r="F23" s="291"/>
      <x:c r="G23" s="384"/>
    </x:row>
    <x:row r="24">
      <x:c r="A24" s="199"/>
      <x:c r="B24" s="40"/>
      <x:c r="C24" s="34"/>
      <x:c r="D24" s="44"/>
      <x:c r="E24" s="291"/>
      <x:c r="F24" s="291"/>
      <x:c r="G24" s="384"/>
    </x:row>
    <x:row r="25">
      <x:c r="A25" s="199"/>
      <x:c r="B25" s="40"/>
      <x:c r="C25" s="34"/>
      <x:c r="D25" s="44"/>
      <x:c r="E25" s="291"/>
      <x:c r="F25" s="291"/>
      <x:c r="G25" s="384"/>
    </x:row>
    <x:row r="26">
      <x:c r="A26" s="199"/>
      <x:c r="B26" s="40"/>
      <x:c r="C26" s="34"/>
      <x:c r="D26" s="44"/>
      <x:c r="E26" s="291"/>
      <x:c r="F26" s="291"/>
      <x:c r="G26" s="384"/>
    </x:row>
    <x:row r="27">
      <x:c r="A27" s="199"/>
      <x:c r="B27" s="40"/>
      <x:c r="C27" s="34"/>
      <x:c r="D27" s="44"/>
      <x:c r="E27" s="291"/>
      <x:c r="F27" s="291"/>
      <x:c r="G27" s="384"/>
    </x:row>
    <x:row r="28">
      <x:c r="A28" s="199"/>
      <x:c r="B28" s="40"/>
      <x:c r="C28" s="34"/>
      <x:c r="D28" s="44"/>
      <x:c r="E28" s="291"/>
      <x:c r="F28" s="291"/>
      <x:c r="G28" s="384"/>
    </x:row>
    <x:row r="29">
      <x:c r="A29" s="199"/>
      <x:c r="B29" s="40"/>
      <x:c r="C29" s="34"/>
      <x:c r="D29" s="44"/>
      <x:c r="E29" s="291"/>
      <x:c r="F29" s="291"/>
      <x:c r="G29" s="384"/>
    </x:row>
    <x:row r="30">
      <x:c r="A30" s="199"/>
      <x:c r="B30" s="40"/>
      <x:c r="C30" s="34"/>
      <x:c r="D30" s="44"/>
      <x:c r="E30" s="291"/>
      <x:c r="F30" s="291"/>
      <x:c r="G30" s="384"/>
    </x:row>
    <x:row r="31">
      <x:c r="A31" s="199"/>
      <x:c r="B31" s="40"/>
      <x:c r="C31" s="34"/>
      <x:c r="D31" s="44"/>
      <x:c r="E31" s="291"/>
      <x:c r="F31" s="291"/>
      <x:c r="G31" s="384"/>
    </x:row>
    <x:row r="32">
      <x:c r="A32" s="199"/>
      <x:c r="B32" s="40"/>
      <x:c r="C32" s="34"/>
      <x:c r="D32" s="44"/>
      <x:c r="E32" s="291"/>
      <x:c r="F32" s="291"/>
      <x:c r="G32" s="384"/>
    </x:row>
    <x:row r="33">
      <x:c r="A33" s="199"/>
      <x:c r="B33" s="40"/>
      <x:c r="C33" s="34"/>
      <x:c r="D33" s="44"/>
      <x:c r="E33" s="291"/>
      <x:c r="F33" s="291"/>
      <x:c r="G33" s="384"/>
    </x:row>
    <x:row r="34">
      <x:c r="A34" s="199"/>
      <x:c r="B34" s="40"/>
      <x:c r="C34" s="34"/>
      <x:c r="D34" s="44"/>
      <x:c r="E34" s="291"/>
      <x:c r="F34" s="291"/>
      <x:c r="G34" s="384"/>
    </x:row>
    <x:row r="35">
      <x:c r="A35" s="199"/>
      <x:c r="B35" s="40"/>
      <x:c r="C35" s="34"/>
      <x:c r="D35" s="44"/>
      <x:c r="E35" s="291"/>
      <x:c r="F35" s="291"/>
      <x:c r="G35" s="384"/>
    </x:row>
    <x:row r="36">
      <x:c r="A36" s="199"/>
      <x:c r="B36" s="40"/>
      <x:c r="C36" s="34"/>
      <x:c r="D36" s="44"/>
      <x:c r="E36" s="291"/>
      <x:c r="F36" s="291"/>
      <x:c r="G36" s="384"/>
    </x:row>
    <x:row r="37">
      <x:c r="A37" s="199"/>
      <x:c r="B37" s="40"/>
      <x:c r="C37" s="34"/>
      <x:c r="D37" s="44"/>
      <x:c r="E37" s="291"/>
      <x:c r="F37" s="291"/>
      <x:c r="G37" s="384"/>
    </x:row>
    <x:row r="38">
      <x:c r="A38" s="199"/>
      <x:c r="B38" s="40"/>
      <x:c r="C38" s="34"/>
      <x:c r="D38" s="44"/>
      <x:c r="E38" s="291"/>
      <x:c r="F38" s="291"/>
      <x:c r="G38" s="384"/>
    </x:row>
    <x:row r="39">
      <x:c r="A39" s="199"/>
      <x:c r="B39" s="40"/>
      <x:c r="C39" s="34"/>
      <x:c r="D39" s="44"/>
      <x:c r="E39" s="291"/>
      <x:c r="F39" s="291"/>
      <x:c r="G39" s="384"/>
    </x:row>
    <x:row r="40">
      <x:c r="A40" s="199"/>
      <x:c r="B40" s="40"/>
      <x:c r="C40" s="34"/>
      <x:c r="D40" s="44"/>
      <x:c r="E40" s="291"/>
      <x:c r="F40" s="291"/>
      <x:c r="G40" s="384"/>
    </x:row>
    <x:row r="41">
      <x:c r="A41" s="199"/>
      <x:c r="B41" s="40"/>
      <x:c r="C41" s="34"/>
      <x:c r="D41" s="44"/>
      <x:c r="E41" s="291"/>
      <x:c r="F41" s="291"/>
      <x:c r="G41" s="384"/>
    </x:row>
    <x:row r="42">
      <x:c r="A42" s="199"/>
      <x:c r="B42" s="40"/>
      <x:c r="C42" s="34"/>
      <x:c r="D42" s="44"/>
      <x:c r="E42" s="291"/>
      <x:c r="F42" s="291"/>
      <x:c r="G42" s="384"/>
    </x:row>
    <x:row r="43">
      <x:c r="A43" s="199"/>
      <x:c r="B43" s="40"/>
      <x:c r="C43" s="34"/>
      <x:c r="D43" s="44"/>
      <x:c r="E43" s="291"/>
      <x:c r="F43" s="291"/>
      <x:c r="G43" s="384"/>
    </x:row>
    <x:row r="44">
      <x:c r="A44" s="199"/>
      <x:c r="B44" s="40"/>
      <x:c r="C44" s="34"/>
      <x:c r="D44" s="44"/>
      <x:c r="E44" s="291"/>
      <x:c r="F44" s="291"/>
      <x:c r="G44" s="384"/>
    </x:row>
    <x:row r="45">
      <x:c r="A45" s="199"/>
      <x:c r="B45" s="40"/>
      <x:c r="C45" s="34"/>
      <x:c r="D45" s="44"/>
      <x:c r="E45" s="291"/>
      <x:c r="F45" s="291"/>
      <x:c r="G45" s="384"/>
    </x:row>
    <x:row r="46">
      <x:c r="A46" s="199"/>
      <x:c r="B46" s="40"/>
      <x:c r="C46" s="34"/>
      <x:c r="D46" s="44"/>
      <x:c r="E46" s="291"/>
      <x:c r="F46" s="291"/>
      <x:c r="G46" s="384"/>
    </x:row>
    <x:row r="47">
      <x:c r="A47" s="199"/>
      <x:c r="B47" s="40"/>
      <x:c r="C47" s="34"/>
      <x:c r="D47" s="44"/>
      <x:c r="E47" s="291"/>
      <x:c r="F47" s="291"/>
      <x:c r="G47" s="384"/>
    </x:row>
    <x:row r="48">
      <x:c r="A48" s="199"/>
      <x:c r="B48" s="40"/>
      <x:c r="C48" s="34"/>
      <x:c r="D48" s="44"/>
      <x:c r="E48" s="291"/>
      <x:c r="F48" s="291"/>
      <x:c r="G48" s="384"/>
    </x:row>
    <x:row r="49">
      <x:c r="A49" s="199"/>
      <x:c r="B49" s="40"/>
      <x:c r="C49" s="34"/>
      <x:c r="D49" s="44"/>
      <x:c r="E49" s="291"/>
      <x:c r="F49" s="291"/>
      <x:c r="G49" s="384"/>
    </x:row>
    <x:row r="50">
      <x:c r="A50" s="199"/>
      <x:c r="B50" s="40"/>
      <x:c r="C50" s="34"/>
      <x:c r="D50" s="44"/>
      <x:c r="E50" s="291"/>
      <x:c r="F50" s="291"/>
      <x:c r="G50" s="384"/>
    </x:row>
    <x:row r="51">
      <x:c r="A51" s="199"/>
      <x:c r="B51" s="40"/>
      <x:c r="C51" s="34"/>
      <x:c r="D51" s="44"/>
      <x:c r="E51" s="291"/>
      <x:c r="F51" s="291"/>
      <x:c r="G51" s="384"/>
    </x:row>
    <x:row r="52">
      <x:c r="A52" s="199"/>
      <x:c r="B52" s="40"/>
      <x:c r="C52" s="34"/>
      <x:c r="D52" s="44"/>
      <x:c r="E52" s="291"/>
      <x:c r="F52" s="291"/>
      <x:c r="G52" s="384"/>
    </x:row>
    <x:row r="53">
      <x:c r="A53" s="199"/>
      <x:c r="B53" s="40"/>
      <x:c r="C53" s="34"/>
      <x:c r="D53" s="44"/>
      <x:c r="E53" s="291"/>
      <x:c r="F53" s="291"/>
      <x:c r="G53" s="384"/>
    </x:row>
    <x:row r="54">
      <x:c r="A54" s="199"/>
      <x:c r="B54" s="40"/>
      <x:c r="C54" s="34"/>
      <x:c r="D54" s="44"/>
      <x:c r="E54" s="291"/>
      <x:c r="F54" s="291"/>
      <x:c r="G54" s="384"/>
    </x:row>
    <x:row r="55">
      <x:c r="A55" s="199"/>
      <x:c r="B55" s="40"/>
      <x:c r="C55" s="34"/>
      <x:c r="D55" s="44"/>
      <x:c r="E55" s="291"/>
      <x:c r="F55" s="291"/>
      <x:c r="G55" s="384"/>
    </x:row>
    <x:row r="56">
      <x:c r="A56" s="199"/>
      <x:c r="B56" s="40"/>
      <x:c r="C56" s="34"/>
      <x:c r="D56" s="44"/>
      <x:c r="E56" s="291"/>
      <x:c r="F56" s="291"/>
      <x:c r="G56" s="384"/>
    </x:row>
    <x:row r="57">
      <x:c r="A57" s="199"/>
      <x:c r="B57" s="40"/>
      <x:c r="C57" s="34"/>
      <x:c r="D57" s="44"/>
      <x:c r="E57" s="291"/>
      <x:c r="F57" s="291"/>
      <x:c r="G57" s="384"/>
    </x:row>
    <x:row r="58">
      <x:c r="A58" s="199"/>
      <x:c r="B58" s="40"/>
      <x:c r="C58" s="34"/>
      <x:c r="D58" s="44"/>
      <x:c r="E58" s="291"/>
      <x:c r="F58" s="291"/>
      <x:c r="G58" s="384"/>
    </x:row>
    <x:row r="59">
      <x:c r="A59" s="199"/>
      <x:c r="B59" s="40"/>
      <x:c r="C59" s="34"/>
      <x:c r="D59" s="44"/>
      <x:c r="E59" s="291"/>
      <x:c r="F59" s="291"/>
      <x:c r="G59" s="384"/>
    </x:row>
    <x:row r="60">
      <x:c r="A60" s="199"/>
      <x:c r="B60" s="40"/>
      <x:c r="C60" s="34"/>
      <x:c r="D60" s="44"/>
      <x:c r="E60" s="291"/>
      <x:c r="F60" s="291"/>
      <x:c r="G60" s="384"/>
    </x:row>
    <x:row r="61">
      <x:c r="A61" s="199"/>
      <x:c r="B61" s="40"/>
      <x:c r="C61" s="34"/>
      <x:c r="D61" s="44"/>
      <x:c r="E61" s="291"/>
      <x:c r="F61" s="291"/>
      <x:c r="G61" s="384"/>
    </x:row>
    <x:row r="62">
      <x:c r="A62" s="199"/>
      <x:c r="B62" s="40"/>
      <x:c r="C62" s="34"/>
      <x:c r="D62" s="44"/>
      <x:c r="E62" s="291"/>
      <x:c r="F62" s="291"/>
      <x:c r="G62" s="384"/>
    </x:row>
    <x:row r="63">
      <x:c r="A63" s="199"/>
      <x:c r="B63" s="40"/>
      <x:c r="C63" s="34"/>
      <x:c r="D63" s="44"/>
      <x:c r="E63" s="291"/>
      <x:c r="F63" s="291"/>
      <x:c r="G63" s="384"/>
    </x:row>
    <x:row r="64">
      <x:c r="A64" s="199"/>
      <x:c r="B64" s="40"/>
      <x:c r="C64" s="34"/>
      <x:c r="D64" s="44"/>
      <x:c r="E64" s="291"/>
      <x:c r="F64" s="291"/>
      <x:c r="G64" s="384"/>
    </x:row>
    <x:row r="65">
      <x:c r="A65" s="199"/>
      <x:c r="B65" s="40"/>
      <x:c r="C65" s="34"/>
      <x:c r="D65" s="44"/>
      <x:c r="E65" s="291"/>
      <x:c r="F65" s="291"/>
      <x:c r="G65" s="384"/>
    </x:row>
    <x:row r="66">
      <x:c r="A66" s="199"/>
      <x:c r="B66" s="40"/>
      <x:c r="C66" s="34"/>
      <x:c r="D66" s="44"/>
      <x:c r="E66" s="291"/>
      <x:c r="F66" s="291"/>
      <x:c r="G66" s="384"/>
    </x:row>
    <x:row r="67">
      <x:c r="A67" s="199"/>
      <x:c r="B67" s="40"/>
      <x:c r="C67" s="34"/>
      <x:c r="D67" s="44"/>
      <x:c r="E67" s="291"/>
      <x:c r="F67" s="291"/>
      <x:c r="G67" s="384"/>
    </x:row>
    <x:row r="68">
      <x:c r="A68" s="199"/>
      <x:c r="B68" s="40"/>
      <x:c r="C68" s="34"/>
      <x:c r="D68" s="44"/>
      <x:c r="E68" s="291"/>
      <x:c r="F68" s="291"/>
      <x:c r="G68" s="384"/>
    </x:row>
    <x:row r="69">
      <x:c r="A69" s="199"/>
      <x:c r="B69" s="40"/>
      <x:c r="C69" s="34"/>
      <x:c r="D69" s="44"/>
      <x:c r="E69" s="291"/>
      <x:c r="F69" s="291"/>
      <x:c r="G69" s="384"/>
    </x:row>
    <x:row r="70">
      <x:c r="A70" s="199"/>
      <x:c r="B70" s="40"/>
      <x:c r="C70" s="34"/>
      <x:c r="D70" s="44"/>
      <x:c r="E70" s="291"/>
      <x:c r="F70" s="291"/>
      <x:c r="G70" s="384"/>
    </x:row>
    <x:row r="71">
      <x:c r="A71" s="199"/>
      <x:c r="B71" s="40"/>
      <x:c r="C71" s="34"/>
      <x:c r="D71" s="44"/>
      <x:c r="E71" s="291"/>
      <x:c r="F71" s="291"/>
      <x:c r="G71" s="384"/>
    </x:row>
    <x:row r="72">
      <x:c r="A72" s="199"/>
      <x:c r="B72" s="40"/>
      <x:c r="C72" s="34"/>
      <x:c r="D72" s="44"/>
      <x:c r="E72" s="291"/>
      <x:c r="F72" s="291"/>
      <x:c r="G72" s="384"/>
    </x:row>
    <x:row r="73">
      <x:c r="A73" s="199"/>
      <x:c r="B73" s="40"/>
      <x:c r="C73" s="34"/>
      <x:c r="D73" s="44"/>
      <x:c r="E73" s="291"/>
      <x:c r="F73" s="291"/>
      <x:c r="G73" s="384"/>
    </x:row>
    <x:row r="74">
      <x:c r="A74" s="199"/>
      <x:c r="B74" s="40"/>
      <x:c r="C74" s="34"/>
      <x:c r="D74" s="44"/>
      <x:c r="E74" s="291"/>
      <x:c r="F74" s="291"/>
      <x:c r="G74" s="384"/>
    </x:row>
    <x:row r="75">
      <x:c r="A75" s="199"/>
      <x:c r="B75" s="40"/>
      <x:c r="C75" s="34"/>
      <x:c r="D75" s="44"/>
      <x:c r="E75" s="291"/>
      <x:c r="F75" s="291"/>
      <x:c r="G75" s="384"/>
    </x:row>
    <x:row r="76">
      <x:c r="A76" s="199"/>
      <x:c r="B76" s="40"/>
      <x:c r="C76" s="34"/>
      <x:c r="D76" s="44"/>
      <x:c r="E76" s="291"/>
      <x:c r="F76" s="291"/>
      <x:c r="G76" s="384"/>
    </x:row>
    <x:row r="77">
      <x:c r="A77" s="199"/>
      <x:c r="B77" s="40"/>
      <x:c r="C77" s="34"/>
      <x:c r="D77" s="44"/>
      <x:c r="E77" s="291"/>
      <x:c r="F77" s="291"/>
      <x:c r="G77" s="384"/>
    </x:row>
    <x:row r="78">
      <x:c r="A78" s="199"/>
      <x:c r="B78" s="40"/>
      <x:c r="C78" s="34"/>
      <x:c r="D78" s="44"/>
      <x:c r="E78" s="291"/>
      <x:c r="F78" s="291"/>
      <x:c r="G78" s="384"/>
    </x:row>
    <x:row r="79">
      <x:c r="A79" s="199"/>
      <x:c r="B79" s="40"/>
      <x:c r="C79" s="34"/>
      <x:c r="D79" s="44"/>
      <x:c r="E79" s="291"/>
      <x:c r="F79" s="291"/>
      <x:c r="G79" s="384"/>
    </x:row>
    <x:row r="80">
      <x:c r="A80" s="199"/>
      <x:c r="B80" s="40"/>
      <x:c r="C80" s="34"/>
      <x:c r="D80" s="44"/>
      <x:c r="E80" s="291"/>
      <x:c r="F80" s="291"/>
      <x:c r="G80" s="384"/>
    </x:row>
    <x:row r="81">
      <x:c r="A81" s="199"/>
      <x:c r="B81" s="40"/>
      <x:c r="C81" s="34"/>
      <x:c r="D81" s="44"/>
      <x:c r="E81" s="291"/>
      <x:c r="F81" s="291"/>
      <x:c r="G81" s="384"/>
    </x:row>
    <x:row r="82">
      <x:c r="A82" s="199"/>
      <x:c r="B82" s="40"/>
      <x:c r="C82" s="34"/>
      <x:c r="D82" s="44"/>
      <x:c r="E82" s="291"/>
      <x:c r="F82" s="291"/>
      <x:c r="G82" s="384"/>
    </x:row>
    <x:row r="83">
      <x:c r="A83" s="199"/>
      <x:c r="B83" s="40"/>
      <x:c r="C83" s="34"/>
      <x:c r="D83" s="44"/>
      <x:c r="E83" s="291"/>
      <x:c r="F83" s="291"/>
      <x:c r="G83" s="384"/>
    </x:row>
    <x:row r="84">
      <x:c r="A84" s="199"/>
      <x:c r="B84" s="40"/>
      <x:c r="C84" s="34"/>
      <x:c r="D84" s="44"/>
      <x:c r="E84" s="291"/>
      <x:c r="F84" s="291"/>
      <x:c r="G84" s="384"/>
    </x:row>
    <x:row r="85">
      <x:c r="A85" s="199"/>
      <x:c r="B85" s="40"/>
      <x:c r="C85" s="34"/>
      <x:c r="D85" s="44"/>
      <x:c r="E85" s="291"/>
      <x:c r="F85" s="291"/>
      <x:c r="G85" s="384"/>
    </x:row>
    <x:row r="86">
      <x:c r="A86" s="199"/>
      <x:c r="B86" s="40"/>
      <x:c r="C86" s="34"/>
      <x:c r="D86" s="44"/>
      <x:c r="E86" s="291"/>
      <x:c r="F86" s="291"/>
      <x:c r="G86" s="384"/>
    </x:row>
    <x:row r="87">
      <x:c r="A87" s="199"/>
      <x:c r="B87" s="40"/>
      <x:c r="C87" s="34"/>
      <x:c r="D87" s="44"/>
      <x:c r="E87" s="291"/>
      <x:c r="F87" s="291"/>
      <x:c r="G87" s="384"/>
    </x:row>
    <x:row r="88">
      <x:c r="A88" s="199"/>
      <x:c r="B88" s="40"/>
      <x:c r="C88" s="34"/>
      <x:c r="D88" s="44"/>
      <x:c r="E88" s="291"/>
      <x:c r="F88" s="291"/>
      <x:c r="G88" s="384"/>
    </x:row>
    <x:row r="89">
      <x:c r="A89" s="199"/>
      <x:c r="B89" s="40"/>
      <x:c r="C89" s="34"/>
      <x:c r="D89" s="44"/>
      <x:c r="E89" s="291"/>
      <x:c r="F89" s="291"/>
      <x:c r="G89" s="384"/>
    </x:row>
    <x:row r="90">
      <x:c r="A90" s="199"/>
      <x:c r="B90" s="40"/>
      <x:c r="C90" s="34"/>
      <x:c r="D90" s="44"/>
      <x:c r="E90" s="291"/>
      <x:c r="F90" s="291"/>
      <x:c r="G90" s="384"/>
    </x:row>
    <x:row r="91">
      <x:c r="A91" s="199"/>
      <x:c r="B91" s="40"/>
      <x:c r="C91" s="34"/>
      <x:c r="D91" s="44"/>
      <x:c r="E91" s="291"/>
      <x:c r="F91" s="291"/>
      <x:c r="G91" s="384"/>
    </x:row>
    <x:row r="92">
      <x:c r="A92" s="199"/>
      <x:c r="B92" s="40"/>
      <x:c r="C92" s="34"/>
      <x:c r="D92" s="44"/>
      <x:c r="E92" s="291"/>
      <x:c r="F92" s="291"/>
      <x:c r="G92" s="384"/>
    </x:row>
    <x:row r="93">
      <x:c r="A93" s="199"/>
      <x:c r="B93" s="40"/>
      <x:c r="C93" s="34"/>
      <x:c r="D93" s="44"/>
      <x:c r="E93" s="291"/>
      <x:c r="F93" s="291"/>
      <x:c r="G93" s="384"/>
    </x:row>
    <x:row r="94">
      <x:c r="A94" s="199"/>
      <x:c r="B94" s="40"/>
      <x:c r="C94" s="34"/>
      <x:c r="D94" s="44"/>
      <x:c r="E94" s="291"/>
      <x:c r="F94" s="291"/>
      <x:c r="G94" s="384"/>
    </x:row>
    <x:row r="95">
      <x:c r="A95" s="199"/>
      <x:c r="B95" s="40"/>
      <x:c r="C95" s="34"/>
      <x:c r="D95" s="44"/>
      <x:c r="E95" s="44"/>
      <x:c r="F95" s="44"/>
      <x:c r="G95" s="44"/>
    </x:row>
    <x:row r="96">
      <x:c r="A96" s="199"/>
      <x:c r="B96" s="40"/>
      <x:c r="C96" s="34"/>
      <x:c r="D96" s="44"/>
      <x:c r="E96" s="44"/>
      <x:c r="F96" s="44"/>
      <x:c r="G96" s="44"/>
    </x:row>
    <x:row r="97">
      <x:c r="A97" s="199"/>
      <x:c r="B97" s="40"/>
      <x:c r="C97" s="34"/>
      <x:c r="D97" s="44"/>
      <x:c r="E97" s="44"/>
      <x:c r="F97" s="44"/>
      <x:c r="G97" s="44"/>
    </x:row>
    <x:row r="98">
      <x:c r="A98" s="199"/>
      <x:c r="B98" s="40"/>
      <x:c r="C98" s="34"/>
      <x:c r="D98" s="44"/>
      <x:c r="E98" s="44"/>
      <x:c r="F98" s="44"/>
      <x:c r="G98" s="44"/>
    </x:row>
    <x:row r="99">
      <x:c r="A99" s="199"/>
      <x:c r="B99" s="40"/>
      <x:c r="C99" s="34"/>
      <x:c r="D99" s="44"/>
      <x:c r="E99" s="44"/>
      <x:c r="F99" s="44"/>
      <x:c r="G99" s="44"/>
    </x:row>
    <x:row r="100">
      <x:c r="A100" s="199"/>
      <x:c r="B100" s="40"/>
      <x:c r="C100" s="34"/>
      <x:c r="D100" s="44"/>
      <x:c r="E100" s="44"/>
      <x:c r="F100" s="44"/>
      <x:c r="G100" s="44"/>
    </x:row>
    <x:row r="101">
      <x:c r="A101" s="199"/>
      <x:c r="B101" s="40"/>
      <x:c r="C101" s="34"/>
      <x:c r="D101" s="44"/>
      <x:c r="E101" s="44"/>
      <x:c r="F101" s="44"/>
      <x:c r="G101" s="44"/>
    </x:row>
    <x:row r="102">
      <x:c r="A102" s="199"/>
      <x:c r="B102" s="40"/>
      <x:c r="C102" s="34"/>
      <x:c r="D102" s="44"/>
      <x:c r="E102" s="44"/>
      <x:c r="F102" s="44"/>
      <x:c r="G102" s="44"/>
    </x:row>
    <x:row r="103">
      <x:c r="A103" s="199"/>
      <x:c r="B103" s="40"/>
      <x:c r="C103" s="34"/>
      <x:c r="D103" s="44"/>
      <x:c r="E103" s="44"/>
      <x:c r="F103" s="44"/>
      <x:c r="G103" s="44"/>
    </x:row>
    <x:row r="104">
      <x:c r="A104" s="200"/>
      <x:c r="B104" s="42"/>
      <x:c r="C104" s="36"/>
      <x:c r="D104" s="45"/>
      <x:c r="E104" s="45"/>
      <x:c r="F104" s="45"/>
      <x:c r="G104" s="45"/>
    </x:row>
  </x:sheetData>
  <x:mergeCells>
    <x:mergeCell ref="A1:G1"/>
    <x:mergeCell ref="A2:G2"/>
  </x:mergeCells>
  <x:dataValidations count="2">
    <x:dataValidation type="list" sqref="B5:B104">
      <x:formula1>"早餐,午餐,晚餐,點心,其他"</x:formula1>
    </x:dataValidation>
    <x:dataValidation type="whole" operator="between" sqref="F5:F104">
      <x:formula1>0</x:formula1>
      <x:formula2>10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.380000114440918" hidden="0" customWidth="1"/>
    <x:col min="3" max="3" width="31.25" hidden="0" customWidth="1"/>
    <x:col min="4" max="4" width="31.25" hidden="0" customWidth="1"/>
  </x:cols>
  <x:sheetData>
    <x:row r="1" ht="24" customHeight="1">
      <x:c r="A1" s="342" t="str">
        <x:v>營養設定</x:v>
      </x:c>
      <x:c r="B1" s="342"/>
      <x:c r="C1" s="342"/>
      <x:c r="D1" s="343"/>
    </x:row>
    <x:row r="2">
      <x:c r="A2" s="344" t="str">
        <x:v>以下為你指定的固定蛋白質估算；未設定食物保持空白，不自行推估。</x:v>
      </x:c>
      <x:c r="B2" s="344"/>
      <x:c r="C2" s="344"/>
      <x:c r="D2" s="344"/>
    </x:row>
    <x:row r="4">
      <x:c r="A4" s="345" t="str">
        <x:v>食物</x:v>
      </x:c>
      <x:c r="B4" s="345" t="str">
        <x:v>蛋白質（g）</x:v>
      </x:c>
      <x:c r="C4" s="345" t="str">
        <x:v>熱量（kcal）</x:v>
      </x:c>
      <x:c r="D4" s="345" t="str">
        <x:v>套用說明</x:v>
      </x:c>
    </x:row>
    <x:row r="5">
      <x:c r="A5" s="282" t="str">
        <x:v>豆漿</x:v>
      </x:c>
      <x:c r="B5" s="242" t="n">
        <x:v>13</x:v>
      </x:c>
      <x:c r="C5" s="242" t="n">
        <x:v>144</x:v>
      </x:c>
      <x:c r="D5" s="100" t="str">
        <x:v>每瓶／份</x:v>
      </x:c>
    </x:row>
    <x:row r="6">
      <x:c r="A6" s="282" t="str">
        <x:v>地瓜</x:v>
      </x:c>
      <x:c r="B6" s="242" t="n">
        <x:v>2</x:v>
      </x:c>
      <x:c r="C6" s="242"/>
      <x:c r="D6" s="100" t="str">
        <x:v>每份</x:v>
      </x:c>
    </x:row>
    <x:row r="7">
      <x:c r="A7" s="282" t="str">
        <x:v>雞胸肉</x:v>
      </x:c>
      <x:c r="B7" s="242" t="n">
        <x:v>25</x:v>
      </x:c>
      <x:c r="C7" s="242"/>
      <x:c r="D7" s="100" t="str">
        <x:v>每份</x:v>
      </x:c>
    </x:row>
    <x:row r="8">
      <x:c r="A8" s="282" t="str">
        <x:v>牛排</x:v>
      </x:c>
      <x:c r="B8" s="242" t="n">
        <x:v>50</x:v>
      </x:c>
      <x:c r="C8" s="242"/>
      <x:c r="D8" s="100" t="str">
        <x:v>每份</x:v>
      </x:c>
    </x:row>
    <x:row r="9">
      <x:c r="A9" s="282" t="str">
        <x:v>雞腿排</x:v>
      </x:c>
      <x:c r="B9" s="242" t="n">
        <x:v>45</x:v>
      </x:c>
      <x:c r="C9" s="242"/>
      <x:c r="D9" s="100" t="str">
        <x:v>每份</x:v>
      </x:c>
    </x:row>
    <x:row r="10">
      <x:c r="A10" s="282" t="str">
        <x:v>雞排（視為雞腿排）</x:v>
      </x:c>
      <x:c r="B10" s="242" t="n">
        <x:v>45</x:v>
      </x:c>
      <x:c r="C10" s="242"/>
      <x:c r="D10" s="100" t="str">
        <x:v>用於舊紀錄；可依實際品項更正</x:v>
      </x:c>
    </x:row>
    <x:row r="11">
      <x:c r="A11" s="282" t="str">
        <x:v>大麥克</x:v>
      </x:c>
      <x:c r="B11" s="242" t="n">
        <x:v>26</x:v>
      </x:c>
      <x:c r="C11" s="242"/>
      <x:c r="D11" s="100" t="str">
        <x:v>每份</x:v>
      </x:c>
    </x:row>
    <x:row r="13">
      <x:c r="A13" s="244" t="str">
        <x:v>既有飲食：已設定蛋白質每日小計</x:v>
      </x:c>
      <x:c r="B13" s="244"/>
      <x:c r="C13" s="244"/>
    </x:row>
    <x:row r="14">
      <x:c r="A14" s="301" t="str">
        <x:v>日期</x:v>
      </x:c>
      <x:c r="B14" s="301" t="str">
        <x:v>蛋白質（g）</x:v>
      </x:c>
      <x:c r="C14" s="301" t="str">
        <x:v>說明</x:v>
      </x:c>
    </x:row>
    <x:row r="15">
      <x:c r="A15" s="99" t="n">
        <x:v>46237</x:v>
      </x:c>
      <x:c r="B15" s="241" t="n">
        <x:f>SUMIF('飲食紀錄'!$A$5:$A$94,A15,'飲食紀錄'!$E$5:$E$94)</x:f>
        <x:v>125</x:v>
      </x:c>
      <x:c r="C15" s="100" t="str">
        <x:v>僅合計已設定食物</x:v>
      </x:c>
    </x:row>
    <x:row r="16">
      <x:c r="A16" s="99" t="n">
        <x:v>46238</x:v>
      </x:c>
      <x:c r="B16" s="241" t="n">
        <x:f>SUMIF('飲食紀錄'!$A$5:$A$94,A16,'飲食紀錄'!$E$5:$E$94)</x:f>
        <x:v>128</x:v>
      </x:c>
      <x:c r="C16" s="100" t="str">
        <x:v>僅合計已設定食物</x:v>
      </x:c>
    </x:row>
    <x:row r="17">
      <x:c r="A17" s="99" t="n">
        <x:v>46239</x:v>
      </x:c>
      <x:c r="B17" s="241" t="n">
        <x:f>SUMIF('飲食紀錄'!$A$5:$A$94,A17,'飲食紀錄'!$E$5:$E$94)</x:f>
        <x:v>61.7</x:v>
      </x:c>
      <x:c r="C17" s="100" t="str">
        <x:v>僅合計已設定食物</x:v>
      </x:c>
    </x:row>
    <x:row r="18">
      <x:c r="A18" s="99" t="n">
        <x:v>46240</x:v>
      </x:c>
      <x:c r="B18" s="100" t="n">
        <x:f>SUMIF('飲食紀錄'!$A$5:$A$94,A18,'飲食紀錄'!$E$5:$E$94)</x:f>
        <x:v>124</x:v>
      </x:c>
      <x:c r="C18" s="100" t="str">
        <x:v>僅合計已設定食物</x:v>
      </x:c>
    </x:row>
    <x:row r="19">
      <x:c r="A19" s="99" t="n">
        <x:v>46241</x:v>
      </x:c>
      <x:c r="B19" s="101" t="n">
        <x:v>102</x:v>
      </x:c>
      <x:c r="C19" s="100" t="str">
        <x:v>僅合計已設定食物</x:v>
      </x:c>
    </x:row>
    <x:row r="20">
      <x:c r="A20" s="99" t="n">
        <x:v>46242</x:v>
      </x:c>
      <x:c r="B20" s="101" t="n">
        <x:v>172</x:v>
      </x:c>
      <x:c r="C20" s="100" t="str">
        <x:v>早餐 32g＋午餐 58g＋晚餐 82g；蛋白質合計</x:v>
      </x:c>
    </x:row>
  </x:sheetData>
  <x:mergeCells>
    <x:mergeCell ref="A13:C13"/>
    <x:mergeCell ref="A1:D1"/>
    <x:mergeCell ref="A2:D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9.3799991607666" hidden="0" customWidth="1"/>
    <x:col min="3" max="3" width="52.5" hidden="0" customWidth="1"/>
    <x:col min="4" max="4" width="32.5" hidden="0" customWidth="1"/>
  </x:cols>
  <x:sheetData>
    <x:row r="1" ht="24" customHeight="1">
      <x:c r="A1" s="279" t="str">
        <x:v>營養估算來源</x:v>
      </x:c>
      <x:c r="B1" s="279"/>
      <x:c r="C1" s="279"/>
      <x:c r="D1" s="279"/>
    </x:row>
    <x:row r="2">
      <x:c r="A2" s="280" t="str">
        <x:v>黃色為依餐點或通用份量的估算；綠色為官方、包裝標示或使用者提供數字。</x:v>
      </x:c>
      <x:c r="B2" s="280"/>
      <x:c r="C2" s="280"/>
      <x:c r="D2" s="280"/>
    </x:row>
    <x:row r="4">
      <x:c r="A4" s="281" t="str">
        <x:v>日期／餐別</x:v>
      </x:c>
      <x:c r="B4" s="281" t="str">
        <x:v>資料類型</x:v>
      </x:c>
      <x:c r="C4" s="281" t="str">
        <x:v>來源</x:v>
      </x:c>
      <x:c r="D4" s="281" t="str">
        <x:v>用途</x:v>
      </x:c>
    </x:row>
    <x:row r="5" ht="26.399999618530273" hidden="0" customHeight="1">
      <x:c r="A5" s="283" t="str">
        <x:v>2026-08-03 早餐</x:v>
      </x:c>
      <x:c r="B5" s="100" t="str">
        <x:v>通用估算</x:v>
      </x:c>
      <x:c r="C5" s="269" t="str">
        <x:v>https://meals.ntu.edu.tw/CampusDining/kcal/breakfast</x:v>
      </x:c>
      <x:c r="D5" s="269" t="str">
        <x:v>培根蛋三明治熱量基準；雞塊按常見一份估算</x:v>
      </x:c>
    </x:row>
    <x:row r="6" ht="26.399999618530273" hidden="0" customHeight="1">
      <x:c r="A6" s="283" t="str">
        <x:v>2026-08-03 晚餐</x:v>
      </x:c>
      <x:c r="B6" s="100" t="str">
        <x:v>餐廳菜單＋通用估算</x:v>
      </x:c>
      <x:c r="C6" s="269" t="str">
        <x:v>https://www.ubereats.com/tw/store/%E6%A8%82%E6%99%B4%E7%89%9B%E6%8E%92%E9%A4%A8/ilGt4LRHXgmSOVWjMT71Eg</x:v>
      </x:c>
      <x:c r="D6" s="269" t="str">
        <x:v>樂晴牛排館品項描述；雙排餐份量估算</x:v>
      </x:c>
    </x:row>
    <x:row r="7" ht="15" hidden="0" customHeight="1">
      <x:c r="A7" s="283" t="str">
        <x:v>2026-08-04 早餐</x:v>
      </x:c>
      <x:c r="B7" s="100" t="str">
        <x:v>通用估算</x:v>
      </x:c>
      <x:c r="C7" s="269" t="str">
        <x:v>https://www.7-11.com.tw/freshfoods/4_snacks/index.aspx</x:v>
      </x:c>
      <x:c r="D7" s="269" t="str">
        <x:v>7-ELEVEN 類似品項與一般份量</x:v>
      </x:c>
    </x:row>
    <x:row r="8" ht="26.399999618530273" hidden="0" customHeight="1">
      <x:c r="A8" s="283" t="str">
        <x:v>2026-08-04 午餐</x:v>
      </x:c>
      <x:c r="B8" s="100" t="str">
        <x:v>官方／公開營養資料</x:v>
      </x:c>
      <x:c r="C8" s="269" t="str">
        <x:v>https://www.mcdonalds.com/tw/zh-tw/sustainability/good-food/nutrition.html</x:v>
      </x:c>
      <x:c r="D8" s="269" t="str">
        <x:v>大麥克、中薯、小杯玉米湯、無糖可樂</x:v>
      </x:c>
    </x:row>
    <x:row r="9" ht="15" hidden="0" customHeight="1">
      <x:c r="A9" s="283" t="str">
        <x:v>2026-08-04 晚餐</x:v>
      </x:c>
      <x:c r="B9" s="100" t="str">
        <x:v>使用者提供</x:v>
      </x:c>
      <x:c r="C9" s="269" t="str">
        <x:v>使用者回報</x:v>
      </x:c>
      <x:c r="D9" s="269" t="str">
        <x:v>850 kcal、蛋白質 65 g</x:v>
      </x:c>
    </x:row>
    <x:row r="10" ht="26.399999618530273" hidden="0" customHeight="1">
      <x:c r="A10" s="283" t="str">
        <x:v>2026-08-05 早餐／晚餐</x:v>
      </x:c>
      <x:c r="B10" s="100" t="str">
        <x:v>包裝標示／通用估算</x:v>
      </x:c>
      <x:c r="C10" s="269" t="str">
        <x:v>包裝照片；https://www.fda.gov.tw/tc/site.aspx?r=1003484775&amp;sid=271</x:v>
      </x:c>
      <x:c r="D10" s="269" t="str">
        <x:v>飯糰採包裝標示；鐵板燒採通用份量估算</x:v>
      </x:c>
    </x:row>
    <x:row r="11" ht="15" hidden="0" customHeight="1">
      <x:c r="A11" s="346" t="str">
        <x:v>2026-08-06 早餐</x:v>
      </x:c>
      <x:c r="B11" s="100" t="str">
        <x:v>通用估算</x:v>
      </x:c>
      <x:c r="C11" s="269" t="str">
        <x:v>https://www.fda.gov.tw/tc/site.aspx?r=1003484775&amp;sid=271</x:v>
      </x:c>
      <x:c r="D11" s="269" t="str">
        <x:v>全家豆漿、地瓜、雞胸採一般份量估算</x:v>
      </x:c>
    </x:row>
    <x:row r="12" ht="15" hidden="0" customHeight="1">
      <x:c r="A12" s="100" t="str">
        <x:v>2026-08-06 午餐</x:v>
      </x:c>
      <x:c r="B12" s="100" t="str">
        <x:v>通用估算</x:v>
      </x:c>
      <x:c r="C12" s="269" t="str">
        <x:v>使用者回報，未提供品牌或標示</x:v>
      </x:c>
      <x:c r="D12" s="269" t="str">
        <x:v>乳清粉 40g 暫以蛋白質 30g、160 kcal 計</x:v>
      </x:c>
    </x:row>
    <x:row r="13" ht="26.399999618530273" hidden="0" customHeight="1">
      <x:c r="A13" s="100" t="str">
        <x:v>2026-08-06 晚餐</x:v>
      </x:c>
      <x:c r="B13" s="100" t="str">
        <x:v>通用估算</x:v>
      </x:c>
      <x:c r="C13" s="269" t="str">
        <x:v>https://health.tvbs.com.tw/nutrition/351544；https://www.mos.com.tw/menu/Detail.aspx?id=M001236</x:v>
      </x:c>
      <x:c r="D13" s="269" t="str">
        <x:v>炸雞排、炸杏鮑菇與炸魷魚的公開熱量資料；蛋白質依一般份量估算</x:v>
      </x:c>
    </x:row>
    <x:row r="14" ht="26.399999618530273" hidden="0" customHeight="1">
      <x:c r="A14" s="100" t="str">
        <x:v>2026-08-07 三餐</x:v>
      </x:c>
      <x:c r="B14" s="100" t="str">
        <x:v>通用估算</x:v>
      </x:c>
      <x:c r="C14" s="269" t="str">
        <x:v>https://www.fda.gov.tw/tc/site.aspx?r=1003484775&amp;sid=271</x:v>
      </x:c>
      <x:c r="D14" s="269" t="str">
        <x:v>早餐、乳清與火鍋肉片依既有設定或一般份量估算</x:v>
      </x:c>
    </x:row>
    <x:row r="15">
      <x:c r="A15" s="100" t="str">
        <x:v>2026-08-08 早餐／晚餐</x:v>
      </x:c>
      <x:c r="B15" s="100" t="str">
        <x:v>使用者回報＋既有設定</x:v>
      </x:c>
      <x:c r="C15" s="269" t="str">
        <x:v>使用者回報</x:v>
      </x:c>
      <x:c r="D15" s="269" t="str">
        <x:v>雞胸肉 30g 蛋白質；乳清 60g 粉與豆漿依既有比例估算</x:v>
      </x:c>
    </x:row>
    <x:row r="16">
      <x:c r="A16" s="100" t="str">
        <x:v>2026-08-08 午餐</x:v>
      </x:c>
      <x:c r="B16" s="100" t="str">
        <x:v>使用者回報</x:v>
      </x:c>
      <x:c r="C16" s="269" t="str">
        <x:v>使用者回報</x:v>
      </x:c>
      <x:c r="D16" s="269" t="str">
        <x:v>午餐未進食，蛋白質與熱量記為 0</x:v>
      </x:c>
    </x:row>
    <x:row r="17">
      <x:c r="A17" s="100" t="str">
        <x:v>2026-08-08 晚餐</x:v>
      </x:c>
      <x:c r="B17" s="100" t="str">
        <x:v>好食多涮涮鍋資訊＋使用者回報</x:v>
      </x:c>
      <x:c r="C17" s="269" t="str">
        <x:v>https://www.fonfood.com/store/416083</x:v>
      </x:c>
      <x:c r="D17" s="269" t="str">
        <x:v>昆布鍋與肉盤份量參考；12 盎司、鮑魚與白飯由使用者回報。無公開營養標示，故熱量與蛋白質採估算。</x:v>
      </x:c>
    </x:row>
  </x:sheetData>
  <x:mergeCells>
    <x:mergeCell ref="A1:D1"/>
    <x:mergeCell ref="A2:D2"/>
  </x:mergeCells>
  <x:pageMargins left="0.7" right="0.7" top="0.75" bottom="0.75" header="0.3" footer="0.3"/>
</x:worksheet>
</file>