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'動作基準'!$A$1:$K$16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 t="inlineStr">
        <is>
          <t>否</t>
        </is>
      </c>
      <c r="H34" s="42" t="n">
        <v>0</v>
      </c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02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  <row r="200">
      <c r="A200" s="441" t="n">
        <v>46267</v>
      </c>
      <c r="B200" s="42" t="inlineStr">
        <is>
          <t>晚餐</t>
        </is>
      </c>
      <c r="C200" s="36" t="inlineStr">
        <is>
          <t>使用者回報＋既有乳清估算</t>
        </is>
      </c>
      <c r="D200" s="45" t="inlineStr">
        <is>
          <t>乳清蛋白粉 40g</t>
        </is>
      </c>
      <c r="E200" s="45" t="n">
        <v>30</v>
      </c>
      <c r="F200" s="45" t="n">
        <v>160</v>
      </c>
      <c r="G200" s="45" t="inlineStr">
        <is>
          <t>使用者補充今天另外喝了乳清蛋白粉 40g；本筆為追加，不覆蓋既有早餐、午餐與晚餐紀錄。沿用既有估算：約蛋白質 30g、碳水 4g、160 kcal。</t>
        </is>
      </c>
      <c r="H200" s="45" t="n">
        <v>4</v>
      </c>
    </row>
    <row r="201">
      <c r="A201" s="441" t="n">
        <v>46268</v>
      </c>
      <c r="B201" s="42" t="inlineStr">
        <is>
          <t>早餐</t>
        </is>
      </c>
      <c r="C201" s="36" t="inlineStr">
        <is>
          <t>使用者更正＋既有地瓜設定＋7-ELEVEN官方現售品項資料</t>
        </is>
      </c>
      <c r="D201" s="45" t="inlineStr">
        <is>
          <t>7-ELEVEN 30元地瓜 1 份 + 21Plus剝皮辣椒雞胸肉 1 包（145g）</t>
        </is>
      </c>
      <c r="E201" s="45" t="n">
        <v>32</v>
      </c>
      <c r="F201" s="45" t="n">
        <v>288</v>
      </c>
      <c r="G201" s="45" t="inlineStr">
        <is>
          <t>使用者更正實際品項：地瓜為 7-ELEVEN 現售 30 元地瓜；雞胸為 21Plus 剝皮辣椒雞胸肉。地瓜沿用追蹤表既有 1 份設定：約蛋白質 2g、碳水 35g、125 kcal。21Plus 剝皮辣椒雞胸肉目前 7-ELEVEN 現售規格為 145g，官方頁面列熱量 163 kcal；官方頁面未列完整蛋白質數字，本筆蛋白質先沿用一包雞胸約 30g 的透明估算。合計約蛋白質 32g、288 kcal；碳水 35g 僅計入地瓜，雞胸調味碳水未有可靠標示故不猜。</t>
        </is>
      </c>
      <c r="H201" s="45" t="n">
        <v>35</v>
      </c>
    </row>
    <row r="202">
      <c r="A202" s="441" t="n">
        <v>46268</v>
      </c>
      <c r="B202" s="42" t="inlineStr">
        <is>
          <t>晚餐</t>
        </is>
      </c>
      <c r="C202" s="36" t="inlineStr">
        <is>
          <t>使用者回報</t>
        </is>
      </c>
      <c r="D202" s="45" t="inlineStr">
        <is>
          <t>青醬義大利麵 + 小雞腿</t>
        </is>
      </c>
      <c r="E202" s="45" t="n"/>
      <c r="F202" s="45" t="n"/>
      <c r="G202" s="45" t="inlineStr">
        <is>
          <t>使用者回報晚餐吃青醬義大利麵與小雞腿；未提供義大利麵實際份量、雞腿數量或重量，依規則不猜營養數值。</t>
        </is>
      </c>
      <c r="H202" s="45" t="n"/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n">
        <v>25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2026-08-28</t>
        </is>
      </c>
      <c r="F2" t="n">
        <v>25</v>
      </c>
      <c r="G2" t="n">
        <v>10</v>
      </c>
      <c r="H2" t="n">
        <v>0</v>
      </c>
      <c r="I2" s="449" t="inlineStr">
        <is>
          <t>25kg×13/DBR2；25kg×12/DBR3；25kg×13/DBR1；25kg×10/DBR0</t>
        </is>
      </c>
      <c r="J2" s="449" t="inlineStr">
        <is>
          <t>正常</t>
        </is>
      </c>
      <c r="K2" s="449" t="inlineStr">
        <is>
          <t>最近一次訓練中 25 kg 有 3 組落在約 8–20 下、DBR1–3；以可重複的工作組表現優先，不直接選最高重量。</t>
        </is>
      </c>
    </row>
    <row r="3">
      <c r="A3" t="inlineStr">
        <is>
          <t>划船</t>
        </is>
      </c>
      <c r="B3" t="n">
        <v>26.25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2026-08-24</t>
        </is>
      </c>
      <c r="F3" t="n">
        <v>26.25</v>
      </c>
      <c r="G3" t="n">
        <v>13</v>
      </c>
      <c r="H3" t="n">
        <v>0</v>
      </c>
      <c r="I3" s="449" t="inlineStr">
        <is>
          <t>30kg×14/DBR0；26.25kg×15/DBR1；26.25kg×15/DBR0；26.25kg×13/DBR0</t>
        </is>
      </c>
      <c r="J3" s="449" t="inlineStr">
        <is>
          <t>正常</t>
        </is>
      </c>
      <c r="K3" s="449" t="inlineStr">
        <is>
          <t>最近一次訓練中 26.25 kg 有 1 組落在約 8–20 下、DBR1–3；以可重複的工作組表現優先，不直接選最高重量。</t>
        </is>
      </c>
    </row>
    <row r="4">
      <c r="A4" t="inlineStr">
        <is>
          <t>反向飛鳥</t>
        </is>
      </c>
      <c r="B4" t="n">
        <v>20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2026-08-18</t>
        </is>
      </c>
      <c r="F4" t="n">
        <v>20</v>
      </c>
      <c r="G4" t="n">
        <v>15</v>
      </c>
      <c r="H4" t="n">
        <v>0</v>
      </c>
      <c r="I4" s="449" t="inlineStr">
        <is>
          <t>20kg×12/DBR3；20kg×13/DBR0；20kg×13/DBR0；20kg×15/DBR0</t>
        </is>
      </c>
      <c r="J4" s="449" t="inlineStr">
        <is>
          <t>正常</t>
        </is>
      </c>
      <c r="K4" s="449" t="inlineStr">
        <is>
          <t>最近一次訓練中 20 kg 有 1 組落在約 8–20 下、DBR1–3；以可重複的工作組表現優先，不直接選最高重量。</t>
        </is>
      </c>
    </row>
    <row r="5">
      <c r="A5" t="inlineStr">
        <is>
          <t>啞鈴側平舉</t>
        </is>
      </c>
      <c r="B5" t="n">
        <v>10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2026-08-11</t>
        </is>
      </c>
      <c r="F5" t="n">
        <v>10</v>
      </c>
      <c r="G5" t="n">
        <v>14</v>
      </c>
      <c r="H5" t="n">
        <v>0</v>
      </c>
      <c r="I5" s="449" t="inlineStr">
        <is>
          <t>10kg×15/DBR3；10kg×17/DBR1；10kg×14/DBR0；10kg×14/DBR0</t>
        </is>
      </c>
      <c r="J5" s="449" t="inlineStr">
        <is>
          <t>正常</t>
        </is>
      </c>
      <c r="K5" s="449" t="inlineStr">
        <is>
          <t>最近一次訓練中 10 kg 有 2 組落在約 8–20 下、DBR1–3；以可重複的工作組表現優先，不直接選最高重量。</t>
        </is>
      </c>
    </row>
    <row r="6">
      <c r="A6" t="inlineStr">
        <is>
          <t>滑輪下拉</t>
        </is>
      </c>
      <c r="B6" t="n">
        <v>33.75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2026-08-24</t>
        </is>
      </c>
      <c r="F6" t="n">
        <v>30.75</v>
      </c>
      <c r="G6" t="n">
        <v>15</v>
      </c>
      <c r="H6" t="n">
        <v>0</v>
      </c>
      <c r="I6" s="449" t="inlineStr">
        <is>
          <t>30kg×15/DBR5；33.75kg×15/DBR4；33.75kg×15/DBR3；33.75kg×15/DBR1；30.75kg×15/DBR0</t>
        </is>
      </c>
      <c r="J6" s="449" t="inlineStr">
        <is>
          <t>正常</t>
        </is>
      </c>
      <c r="K6" s="449" t="inlineStr">
        <is>
          <t>最近一次訓練中 33.75 kg 有 2 組落在約 8–20 下、DBR1–3；以可重複的工作組表現優先，不直接選最高重量。</t>
        </is>
      </c>
    </row>
    <row r="7">
      <c r="A7" t="inlineStr">
        <is>
          <t>睾丸繩下拉</t>
        </is>
      </c>
      <c r="B7" t="n">
        <v>6.25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2026-08-14</t>
        </is>
      </c>
      <c r="F7" t="n">
        <v>6.25</v>
      </c>
      <c r="G7" t="n">
        <v>11</v>
      </c>
      <c r="H7" t="n">
        <v>0</v>
      </c>
      <c r="I7" s="449" t="inlineStr">
        <is>
          <t>8.75kg×11/DBR0；8.75kg×10/DBR0；6.25kg×13/DBR0；6.25kg×13/DBR0；6.25kg×11/DBR0</t>
        </is>
      </c>
      <c r="J7" s="449" t="inlineStr">
        <is>
          <t>正常</t>
        </is>
      </c>
      <c r="K7" s="449" t="inlineStr">
        <is>
          <t>最近一次已知組多為力竭；下次採該次較低重量重新建立 DBR1–3 的工作組。</t>
        </is>
      </c>
    </row>
    <row r="8">
      <c r="A8" t="inlineStr">
        <is>
          <t>羅馬尼亞分腿蹲</t>
        </is>
      </c>
      <c r="B8" t="n">
        <v>5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2026-08-28</t>
        </is>
      </c>
      <c r="F8" t="n">
        <v>5</v>
      </c>
      <c r="G8" t="n">
        <v>15</v>
      </c>
      <c r="H8" t="n">
        <v>1</v>
      </c>
      <c r="I8" s="449" t="inlineStr">
        <is>
          <t>左5kg×12/DBR3；右5kg×12/DBR3；左5kg×15/DBR2；右5kg×15/DBR3；左5kg×13/DBR1；右5kg×13/DBR2；左5kg×15/DBR1；右5kg×15/DBR1</t>
        </is>
      </c>
      <c r="J8" s="449" t="inlineStr">
        <is>
          <t>正常</t>
        </is>
      </c>
      <c r="K8" s="449" t="inlineStr">
        <is>
          <t>最近一次訓練中 5 kg 有 8 組落在約 8–20 下、DBR1–3；以可重複的工作組表現優先，不直接選最高重量。</t>
        </is>
      </c>
    </row>
    <row r="9">
      <c r="A9" t="inlineStr">
        <is>
          <t>羅馬尼亞蹲</t>
        </is>
      </c>
      <c r="B9" t="n">
        <v>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2026-08-12</t>
        </is>
      </c>
      <c r="F9" t="n">
        <v>5</v>
      </c>
      <c r="G9" t="n">
        <v>14</v>
      </c>
      <c r="H9" t="n">
        <v>0</v>
      </c>
      <c r="I9" s="449" t="inlineStr">
        <is>
          <t>左自重×15/DBR3；右自重×15/DBR3；左5kg×15/DBR2；右5kg×8/DBR0；左5kg×14/DBR0；右5kg×14/DBR0；左5kg×14/DBR0；右5kg×14/DBR0</t>
        </is>
      </c>
      <c r="J9" s="449" t="inlineStr">
        <is>
          <t>正常</t>
        </is>
      </c>
      <c r="K9" s="449" t="inlineStr">
        <is>
          <t>最近一次訓練中 5 kg 有 1 組落在約 8–20 下、DBR1–3；以可重複的工作組表現優先，不直接選最高重量。</t>
        </is>
      </c>
    </row>
    <row r="10">
      <c r="A10" t="inlineStr">
        <is>
          <t>腿內收</t>
        </is>
      </c>
      <c r="B10" t="n">
        <v>37.5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2026-08-08</t>
        </is>
      </c>
      <c r="F10" t="n">
        <v>37.5</v>
      </c>
      <c r="G10" t="n">
        <v>13</v>
      </c>
      <c r="H10" t="n">
        <v>3</v>
      </c>
      <c r="I10" s="449" t="inlineStr">
        <is>
          <t>37.5kg×13/DBR3；37.5kg×13/DBR3</t>
        </is>
      </c>
      <c r="J10" s="449" t="inlineStr">
        <is>
          <t>正常</t>
        </is>
      </c>
      <c r="K10" s="449" t="inlineStr">
        <is>
          <t>最近一次訓練中 37.5 kg 有 2 組落在約 8–20 下、DBR1–3；以可重複的工作組表現優先，不直接選最高重量。</t>
        </is>
      </c>
    </row>
    <row r="11">
      <c r="A11" t="inlineStr">
        <is>
          <t>腿外展</t>
        </is>
      </c>
      <c r="B11" t="n">
        <v>25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2026-08-24</t>
        </is>
      </c>
      <c r="F11" t="n">
        <v>25</v>
      </c>
      <c r="G11" t="n">
        <v>15</v>
      </c>
      <c r="H11" t="n">
        <v>1</v>
      </c>
      <c r="I11" s="449" t="inlineStr">
        <is>
          <t>32kg×15/DBR1；32kg×15/DBR1；32kg×15/DBR0；25kg×15/DBR2；25kg×15/DBR1</t>
        </is>
      </c>
      <c r="J11" s="449" t="inlineStr">
        <is>
          <t>正常</t>
        </is>
      </c>
      <c r="K11" s="449" t="inlineStr">
        <is>
          <t>最近一次訓練中 25 kg 有 2 組落在約 8–20 下、DBR1–3；以可重複的工作組表現優先，不直接選最高重量。</t>
        </is>
      </c>
    </row>
    <row r="12">
      <c r="A12" t="inlineStr">
        <is>
          <t>腿後勾</t>
        </is>
      </c>
      <c r="B12" t="n">
        <v>40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2026-08-14</t>
        </is>
      </c>
      <c r="F12" t="n">
        <v>40</v>
      </c>
      <c r="G12" t="n">
        <v>15</v>
      </c>
      <c r="H12" t="n">
        <v>0</v>
      </c>
      <c r="I12" s="449" t="inlineStr">
        <is>
          <t>40kg×15/DBR2；40kg×15/DBR1；40kg×15/DBR1；40kg×15/DBR0</t>
        </is>
      </c>
      <c r="J12" s="449" t="inlineStr">
        <is>
          <t>正常</t>
        </is>
      </c>
      <c r="K12" s="449" t="inlineStr">
        <is>
          <t>最近一次訓練中 40 kg 有 3 組落在約 8–20 下、DBR1–3；以可重複的工作組表現優先，不直接選最高重量。</t>
        </is>
      </c>
    </row>
    <row r="13">
      <c r="A13" t="inlineStr">
        <is>
          <t>腿推舉</t>
        </is>
      </c>
      <c r="B13" t="n">
        <v>40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2026-08-04</t>
        </is>
      </c>
      <c r="F13" t="n">
        <v>40</v>
      </c>
      <c r="G13" t="n">
        <v>16</v>
      </c>
      <c r="H13" t="n">
        <v>0</v>
      </c>
      <c r="I13" s="449" t="inlineStr">
        <is>
          <t>40kg×16/DBR3；40kg×18/DBR2；40kg×16/DBR1；40kg×16/DBR0</t>
        </is>
      </c>
      <c r="J13" s="449" t="inlineStr">
        <is>
          <t>正常</t>
        </is>
      </c>
      <c r="K13" s="449" t="inlineStr">
        <is>
          <t>最近一次訓練中 40 kg 有 3 組落在約 8–20 下、DBR1–3；以可重複的工作組表現優先，不直接選最高重量。</t>
        </is>
      </c>
    </row>
    <row r="14">
      <c r="A14" t="inlineStr">
        <is>
          <t>臀推機</t>
        </is>
      </c>
      <c r="B14" t="inlineStr"/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2026-08-28</t>
        </is>
      </c>
      <c r="F14" t="n">
        <v>20</v>
      </c>
      <c r="G14" t="n">
        <v>12</v>
      </c>
      <c r="H14" t="n">
        <v>2</v>
      </c>
      <c r="I14" s="449" t="inlineStr">
        <is>
          <t>20kg×12/DBR3；20kg×12/DBR2；20kg×12/DBR2</t>
        </is>
      </c>
      <c r="J14" s="449" t="inlineStr">
        <is>
          <t>疼痛／不適：暫不自動推薦重量</t>
        </is>
      </c>
      <c r="K14" s="449" t="inlineStr">
        <is>
          <t>最近一次訓練備註出現疼痛／不適；保留歷史重量，但下次先確認無痛，不依重量基準直接加載。</t>
        </is>
      </c>
    </row>
    <row r="15">
      <c r="A15" t="inlineStr">
        <is>
          <t>蝴蝶機夾胸</t>
        </is>
      </c>
      <c r="B15" t="n">
        <v>25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2026-08-12</t>
        </is>
      </c>
      <c r="F15" t="n">
        <v>20</v>
      </c>
      <c r="G15" t="n">
        <v>13</v>
      </c>
      <c r="H15" t="n">
        <v>0</v>
      </c>
      <c r="I15" s="449" t="inlineStr">
        <is>
          <t>25kg×15/DBR3；20kg×15/DBR0；25kg×7/DBR0；20kg×13/DBR0</t>
        </is>
      </c>
      <c r="J15" s="449" t="inlineStr">
        <is>
          <t>正常</t>
        </is>
      </c>
      <c r="K15" s="449" t="inlineStr">
        <is>
          <t>最近一次訓練中 25 kg 有 1 組落在約 8–20 下、DBR1–3；以可重複的工作組表現優先，不直接選最高重量。</t>
        </is>
      </c>
    </row>
    <row r="16">
      <c r="A16" t="inlineStr">
        <is>
          <t>飛鳥夾胸</t>
        </is>
      </c>
      <c r="B16" t="n">
        <v>20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2026-08-28</t>
        </is>
      </c>
      <c r="F16" t="n">
        <v>20</v>
      </c>
      <c r="G16" t="n">
        <v>10</v>
      </c>
      <c r="H16" t="n">
        <v>0</v>
      </c>
      <c r="I16" s="449" t="inlineStr">
        <is>
          <t>20kg×15/DBR3；20kg×14/DBR2；20kg×12/DBR1；20kg×10/DBR0</t>
        </is>
      </c>
      <c r="J16" s="449" t="inlineStr">
        <is>
          <t>正常</t>
        </is>
      </c>
      <c r="K16" s="449" t="inlineStr">
        <is>
          <t>最近一次訓練中 20 kg 有 3 組落在約 8–20 下、DBR1–3；以可重複的工作組表現優先，不直接選最高重量。</t>
        </is>
      </c>
    </row>
  </sheetData>
  <autoFilter ref="A1:K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2026-09-03T11:59:10Z</dcterms:modified>
</cp:coreProperties>
</file>