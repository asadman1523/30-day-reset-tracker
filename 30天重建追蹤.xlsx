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  <sheet name="有氧紀錄" sheetId="10" state="visible" r:id="rId10"/>
    <sheet name="動作基準" sheetId="11" state="visible" r:id="rId11"/>
  </sheets>
  <definedNames>
    <definedName name="_xlnm._FilterDatabase" localSheetId="9" hidden="1">'有氧紀錄'!$A$1:$H$1</definedName>
    <definedName name="_xlnm._FilterDatabase" localSheetId="10" hidden="1">'動作基準'!$A$1:$K$16</definedName>
  </definedNames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3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  <font>
      <b val="1"/>
    </font>
  </fonts>
  <fills count="7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00D9EAF7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50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  <xf numFmtId="0" fontId="12" fillId="69" borderId="0" applyAlignment="1" pivotButton="0" quotePrefix="0" xfId="0">
      <alignment horizontal="center"/>
    </xf>
    <xf numFmtId="0" fontId="12" fillId="6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inlineStr">
        <is>
          <t>是</t>
        </is>
      </c>
      <c r="C27" s="40" t="inlineStr">
        <is>
          <t>否</t>
        </is>
      </c>
      <c r="D27" s="40" t="n">
        <v>0</v>
      </c>
      <c r="E27" s="44" t="n"/>
      <c r="F27" s="44" t="n"/>
      <c r="G27" s="40" t="inlineStr">
        <is>
          <t>否</t>
        </is>
      </c>
      <c r="H27" s="40" t="n">
        <v>0</v>
      </c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inlineStr">
        <is>
          <t>是</t>
        </is>
      </c>
      <c r="C29" s="40" t="inlineStr">
        <is>
          <t>否</t>
        </is>
      </c>
      <c r="D29" s="40" t="n">
        <v>0</v>
      </c>
      <c r="E29" s="44" t="n"/>
      <c r="F29" s="44" t="n"/>
      <c r="G29" s="40">
        <f>IF(COUNTIF('重訓紀錄'!$A$5:$A$304,A29)&gt;0,"是",IF(B29="","","否"))</f>
        <v/>
      </c>
      <c r="H29" s="40" t="n">
        <v>0</v>
      </c>
      <c r="I29" s="40" t="n">
        <v>2</v>
      </c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 t="inlineStr">
        <is>
          <t>否</t>
        </is>
      </c>
      <c r="H30" s="40" t="n">
        <v>0</v>
      </c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 t="inlineStr">
        <is>
          <t>否</t>
        </is>
      </c>
      <c r="H31" s="40" t="n">
        <v>30</v>
      </c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 t="inlineStr">
        <is>
          <t>否</t>
        </is>
      </c>
      <c r="H32" s="40" t="n">
        <v>0</v>
      </c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 t="inlineStr">
        <is>
          <t>否</t>
        </is>
      </c>
      <c r="H33" s="40" t="n">
        <v>0</v>
      </c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 t="inlineStr">
        <is>
          <t>否</t>
        </is>
      </c>
      <c r="H34" s="42" t="n">
        <v>0</v>
      </c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DBR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2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1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1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1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3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2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1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1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2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6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2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2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1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3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2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1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3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3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4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2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n">
        <v>5</v>
      </c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n">
        <v>3</v>
      </c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n">
        <v>2</v>
      </c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n">
        <v>2</v>
      </c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n">
        <v>5</v>
      </c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n">
        <v>5</v>
      </c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n">
        <v>2</v>
      </c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n">
        <v>1</v>
      </c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n">
        <v>0</v>
      </c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n">
        <v>5</v>
      </c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n">
        <v>3</v>
      </c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n">
        <v>2</v>
      </c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n">
        <v>1</v>
      </c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n">
        <v>3</v>
      </c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n">
        <v>1</v>
      </c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n">
        <v>0</v>
      </c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n">
        <v>0</v>
      </c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n">
        <v>3</v>
      </c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n">
        <v>0</v>
      </c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n">
        <v>0</v>
      </c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n">
        <v>0</v>
      </c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n">
        <v>0</v>
      </c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n">
        <v>0</v>
      </c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n">
        <v>0</v>
      </c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n">
        <v>0</v>
      </c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n">
        <v>3</v>
      </c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n">
        <v>3</v>
      </c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n">
        <v>2</v>
      </c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n">
        <v>0</v>
      </c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n">
        <v>0</v>
      </c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n">
        <v>0</v>
      </c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n">
        <v>0</v>
      </c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n">
        <v>0</v>
      </c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n">
        <v>3</v>
      </c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n">
        <v>1</v>
      </c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n">
        <v>0</v>
      </c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n">
        <v>0</v>
      </c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n">
        <v>0</v>
      </c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n">
        <v>0</v>
      </c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n">
        <v>0</v>
      </c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n">
        <v>0</v>
      </c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n">
        <v>0</v>
      </c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n">
        <v>2</v>
      </c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n">
        <v>1</v>
      </c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n">
        <v>1</v>
      </c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n">
        <v>0</v>
      </c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n">
        <v>2</v>
      </c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n">
        <v>1</v>
      </c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n">
        <v>0</v>
      </c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n">
        <v>0</v>
      </c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n">
        <v>3</v>
      </c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n">
        <v>3</v>
      </c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n">
        <v>0</v>
      </c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n">
        <v>0</v>
      </c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n">
        <v>3</v>
      </c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n">
        <v>0</v>
      </c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n">
        <v>0</v>
      </c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n">
        <v>0</v>
      </c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n">
        <v>3</v>
      </c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n">
        <v>3</v>
      </c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n">
        <v>2</v>
      </c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n">
        <v>0</v>
      </c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n">
        <v>2</v>
      </c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n">
        <v>5</v>
      </c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n">
        <v>4</v>
      </c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n">
        <v>3</v>
      </c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n">
        <v>1</v>
      </c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n">
        <v>0</v>
      </c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n">
        <v>0</v>
      </c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n">
        <v>1</v>
      </c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n">
        <v>0</v>
      </c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n">
        <v>0</v>
      </c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n">
        <v>1</v>
      </c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n">
        <v>1</v>
      </c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n">
        <v>0</v>
      </c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n">
        <v>2</v>
      </c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n">
        <v>1</v>
      </c>
      <c r="H114" s="412">
        <f>IF(OR(E114="",F114=""),"",E114*F114)</f>
        <v/>
      </c>
      <c r="I114" s="44" t="inlineStr">
        <is>
          <t>DBR 1</t>
        </is>
      </c>
    </row>
    <row r="115">
      <c r="A115" s="403" t="n">
        <v>46262</v>
      </c>
      <c r="B115" s="34" t="inlineStr">
        <is>
          <t>重訓</t>
        </is>
      </c>
      <c r="C115" s="34" t="inlineStr">
        <is>
          <t>上斜胸推</t>
        </is>
      </c>
      <c r="D115" s="410" t="n">
        <v>1</v>
      </c>
      <c r="E115" s="411" t="n">
        <v>25</v>
      </c>
      <c r="F115" s="411" t="n">
        <v>13</v>
      </c>
      <c r="G115" s="411" t="n">
        <v>2</v>
      </c>
      <c r="H115" s="412">
        <f>IF(OR(E115="",F115=""),"",E115*F115)</f>
        <v/>
      </c>
      <c r="I115" s="44" t="inlineStr">
        <is>
          <t>DBR 2</t>
        </is>
      </c>
    </row>
    <row r="116">
      <c r="A116" s="403" t="n">
        <v>46262</v>
      </c>
      <c r="B116" s="34" t="inlineStr">
        <is>
          <t>重訓</t>
        </is>
      </c>
      <c r="C116" s="34" t="inlineStr">
        <is>
          <t>上斜胸推</t>
        </is>
      </c>
      <c r="D116" s="410" t="n">
        <v>2</v>
      </c>
      <c r="E116" s="411" t="n">
        <v>25</v>
      </c>
      <c r="F116" s="411" t="n">
        <v>12</v>
      </c>
      <c r="G116" s="411" t="n">
        <v>3</v>
      </c>
      <c r="H116" s="412">
        <f>IF(OR(E116="",F116=""),"",E116*F116)</f>
        <v/>
      </c>
      <c r="I116" s="44" t="inlineStr">
        <is>
          <t>DBR 3</t>
        </is>
      </c>
    </row>
    <row r="117">
      <c r="A117" s="403" t="n">
        <v>46262</v>
      </c>
      <c r="B117" s="34" t="inlineStr">
        <is>
          <t>重訓</t>
        </is>
      </c>
      <c r="C117" s="34" t="inlineStr">
        <is>
          <t>上斜胸推</t>
        </is>
      </c>
      <c r="D117" s="410" t="n">
        <v>3</v>
      </c>
      <c r="E117" s="411" t="n">
        <v>25</v>
      </c>
      <c r="F117" s="411" t="n">
        <v>13</v>
      </c>
      <c r="G117" s="411" t="n">
        <v>1</v>
      </c>
      <c r="H117" s="412">
        <f>IF(OR(E117="",F117=""),"",E117*F117)</f>
        <v/>
      </c>
      <c r="I117" s="44" t="inlineStr">
        <is>
          <t>DBR 1</t>
        </is>
      </c>
    </row>
    <row r="118">
      <c r="A118" s="403" t="n">
        <v>46262</v>
      </c>
      <c r="B118" s="34" t="inlineStr">
        <is>
          <t>重訓</t>
        </is>
      </c>
      <c r="C118" s="34" t="inlineStr">
        <is>
          <t>上斜胸推</t>
        </is>
      </c>
      <c r="D118" s="410" t="n">
        <v>4</v>
      </c>
      <c r="E118" s="411" t="n">
        <v>25</v>
      </c>
      <c r="F118" s="411" t="n">
        <v>10</v>
      </c>
      <c r="G118" s="411" t="n">
        <v>0</v>
      </c>
      <c r="H118" s="412">
        <f>IF(OR(E118="",F118=""),"",E118*F118)</f>
        <v/>
      </c>
      <c r="I118" s="44" t="inlineStr">
        <is>
          <t>DBR 0</t>
        </is>
      </c>
    </row>
    <row r="119">
      <c r="A119" s="403" t="n">
        <v>46262</v>
      </c>
      <c r="B119" s="34" t="inlineStr">
        <is>
          <t>重訓</t>
        </is>
      </c>
      <c r="C119" s="34" t="inlineStr">
        <is>
          <t>羅馬尼亞分腿蹲</t>
        </is>
      </c>
      <c r="D119" s="410" t="n">
        <v>1</v>
      </c>
      <c r="E119" s="411" t="n">
        <v>5</v>
      </c>
      <c r="F119" s="411" t="n">
        <v>12</v>
      </c>
      <c r="G119" s="411" t="n">
        <v>3</v>
      </c>
      <c r="H119" s="412">
        <f>IF(OR(E119="",F119=""),"",E119*F119)</f>
        <v/>
      </c>
      <c r="I119" s="44" t="inlineStr">
        <is>
          <t>左腳；額外加重 5 kg；DBR 3</t>
        </is>
      </c>
    </row>
    <row r="120">
      <c r="A120" s="403" t="n">
        <v>46262</v>
      </c>
      <c r="B120" s="34" t="inlineStr">
        <is>
          <t>重訓</t>
        </is>
      </c>
      <c r="C120" s="34" t="inlineStr">
        <is>
          <t>羅馬尼亞分腿蹲</t>
        </is>
      </c>
      <c r="D120" s="410" t="n">
        <v>2</v>
      </c>
      <c r="E120" s="411" t="n">
        <v>5</v>
      </c>
      <c r="F120" s="411" t="n">
        <v>12</v>
      </c>
      <c r="G120" s="411" t="n">
        <v>3</v>
      </c>
      <c r="H120" s="412">
        <f>IF(OR(E120="",F120=""),"",E120*F120)</f>
        <v/>
      </c>
      <c r="I120" s="44" t="inlineStr">
        <is>
          <t>右腳；額外加重 5 kg；DBR 3</t>
        </is>
      </c>
    </row>
    <row r="121">
      <c r="A121" s="403" t="n">
        <v>46262</v>
      </c>
      <c r="B121" s="34" t="inlineStr">
        <is>
          <t>重訓</t>
        </is>
      </c>
      <c r="C121" s="34" t="inlineStr">
        <is>
          <t>羅馬尼亞分腿蹲</t>
        </is>
      </c>
      <c r="D121" s="410" t="n">
        <v>3</v>
      </c>
      <c r="E121" s="411" t="n">
        <v>5</v>
      </c>
      <c r="F121" s="411" t="n">
        <v>15</v>
      </c>
      <c r="G121" s="411" t="n">
        <v>2</v>
      </c>
      <c r="H121" s="412">
        <f>IF(OR(E121="",F121=""),"",E121*F121)</f>
        <v/>
      </c>
      <c r="I121" s="44" t="inlineStr">
        <is>
          <t>左腳；額外加重 5 kg；DBR 2</t>
        </is>
      </c>
    </row>
    <row r="122">
      <c r="A122" s="403" t="n">
        <v>46262</v>
      </c>
      <c r="B122" s="34" t="inlineStr">
        <is>
          <t>重訓</t>
        </is>
      </c>
      <c r="C122" s="34" t="inlineStr">
        <is>
          <t>羅馬尼亞分腿蹲</t>
        </is>
      </c>
      <c r="D122" s="410" t="n">
        <v>4</v>
      </c>
      <c r="E122" s="411" t="n">
        <v>5</v>
      </c>
      <c r="F122" s="411" t="n">
        <v>15</v>
      </c>
      <c r="G122" s="411" t="n">
        <v>3</v>
      </c>
      <c r="H122" s="412">
        <f>IF(OR(E122="",F122=""),"",E122*F122)</f>
        <v/>
      </c>
      <c r="I122" s="44" t="inlineStr">
        <is>
          <t>右腳；額外加重 5 kg；DBR 3</t>
        </is>
      </c>
    </row>
    <row r="123">
      <c r="A123" s="403" t="n">
        <v>46262</v>
      </c>
      <c r="B123" s="34" t="inlineStr">
        <is>
          <t>重訓</t>
        </is>
      </c>
      <c r="C123" s="34" t="inlineStr">
        <is>
          <t>羅馬尼亞分腿蹲</t>
        </is>
      </c>
      <c r="D123" s="410" t="n">
        <v>5</v>
      </c>
      <c r="E123" s="411" t="n">
        <v>5</v>
      </c>
      <c r="F123" s="411" t="n">
        <v>13</v>
      </c>
      <c r="G123" s="411" t="n">
        <v>1</v>
      </c>
      <c r="H123" s="412">
        <f>IF(OR(E123="",F123=""),"",E123*F123)</f>
        <v/>
      </c>
      <c r="I123" s="44" t="inlineStr">
        <is>
          <t>左腳；額外加重 5 kg；DBR 1</t>
        </is>
      </c>
    </row>
    <row r="124">
      <c r="A124" s="403" t="n">
        <v>46262</v>
      </c>
      <c r="B124" s="34" t="inlineStr">
        <is>
          <t>重訓</t>
        </is>
      </c>
      <c r="C124" s="34" t="inlineStr">
        <is>
          <t>羅馬尼亞分腿蹲</t>
        </is>
      </c>
      <c r="D124" s="410" t="n">
        <v>6</v>
      </c>
      <c r="E124" s="411" t="n">
        <v>5</v>
      </c>
      <c r="F124" s="411" t="n">
        <v>13</v>
      </c>
      <c r="G124" s="411" t="n">
        <v>2</v>
      </c>
      <c r="H124" s="412">
        <f>IF(OR(E124="",F124=""),"",E124*F124)</f>
        <v/>
      </c>
      <c r="I124" s="44" t="inlineStr">
        <is>
          <t>右腳；額外加重 5 kg；DBR 2</t>
        </is>
      </c>
    </row>
    <row r="125">
      <c r="A125" s="403" t="n">
        <v>46262</v>
      </c>
      <c r="B125" s="34" t="inlineStr">
        <is>
          <t>重訓</t>
        </is>
      </c>
      <c r="C125" s="34" t="inlineStr">
        <is>
          <t>羅馬尼亞分腿蹲</t>
        </is>
      </c>
      <c r="D125" s="410" t="n">
        <v>7</v>
      </c>
      <c r="E125" s="411" t="n">
        <v>5</v>
      </c>
      <c r="F125" s="411" t="n">
        <v>15</v>
      </c>
      <c r="G125" s="411" t="n">
        <v>1</v>
      </c>
      <c r="H125" s="412">
        <f>IF(OR(E125="",F125=""),"",E125*F125)</f>
        <v/>
      </c>
      <c r="I125" s="44" t="inlineStr">
        <is>
          <t>左腳；額外加重 5 kg；DBR 1</t>
        </is>
      </c>
    </row>
    <row r="126">
      <c r="A126" s="403" t="n">
        <v>46262</v>
      </c>
      <c r="B126" s="34" t="inlineStr">
        <is>
          <t>重訓</t>
        </is>
      </c>
      <c r="C126" s="34" t="inlineStr">
        <is>
          <t>羅馬尼亞分腿蹲</t>
        </is>
      </c>
      <c r="D126" s="410" t="n">
        <v>8</v>
      </c>
      <c r="E126" s="411" t="n">
        <v>5</v>
      </c>
      <c r="F126" s="411" t="n">
        <v>15</v>
      </c>
      <c r="G126" s="411" t="n">
        <v>1</v>
      </c>
      <c r="H126" s="412">
        <f>IF(OR(E126="",F126=""),"",E126*F126)</f>
        <v/>
      </c>
      <c r="I126" s="44" t="inlineStr">
        <is>
          <t>右腳；額外加重 5 kg；DBR 1</t>
        </is>
      </c>
    </row>
    <row r="127">
      <c r="A127" s="403" t="n">
        <v>46262</v>
      </c>
      <c r="B127" s="34" t="inlineStr">
        <is>
          <t>重訓</t>
        </is>
      </c>
      <c r="C127" s="34" t="inlineStr">
        <is>
          <t>臀推機</t>
        </is>
      </c>
      <c r="D127" s="410" t="n">
        <v>1</v>
      </c>
      <c r="E127" s="411" t="n">
        <v>20</v>
      </c>
      <c r="F127" s="411" t="n">
        <v>12</v>
      </c>
      <c r="G127" s="411" t="n">
        <v>3</v>
      </c>
      <c r="H127" s="412">
        <f>IF(OR(E127="",F127=""),"",E127*F127)</f>
        <v/>
      </c>
      <c r="I127" s="44" t="inlineStr">
        <is>
          <t>使用者回報；今天因先前30kg後骨盆後側曾痛超過一週，改以20kg回測。</t>
        </is>
      </c>
    </row>
    <row r="128">
      <c r="A128" s="403" t="n">
        <v>46262</v>
      </c>
      <c r="B128" s="34" t="inlineStr">
        <is>
          <t>重訓</t>
        </is>
      </c>
      <c r="C128" s="34" t="inlineStr">
        <is>
          <t>臀推機</t>
        </is>
      </c>
      <c r="D128" s="410" t="n">
        <v>2</v>
      </c>
      <c r="E128" s="411" t="n">
        <v>20</v>
      </c>
      <c r="F128" s="411" t="n">
        <v>12</v>
      </c>
      <c r="G128" s="411" t="n">
        <v>2</v>
      </c>
      <c r="H128" s="412">
        <f>IF(OR(E128="",F128=""),"",E128*F128)</f>
        <v/>
      </c>
      <c r="I128" s="44" t="inlineStr">
        <is>
          <t>使用者回報。</t>
        </is>
      </c>
    </row>
    <row r="129">
      <c r="A129" s="403" t="n">
        <v>46262</v>
      </c>
      <c r="B129" s="34" t="inlineStr">
        <is>
          <t>重訓</t>
        </is>
      </c>
      <c r="C129" s="34" t="inlineStr">
        <is>
          <t>臀推機</t>
        </is>
      </c>
      <c r="D129" s="410" t="n">
        <v>3</v>
      </c>
      <c r="E129" s="411" t="n">
        <v>20</v>
      </c>
      <c r="F129" s="411" t="n">
        <v>12</v>
      </c>
      <c r="G129" s="411" t="n">
        <v>2</v>
      </c>
      <c r="H129" s="412">
        <f>IF(OR(E129="",F129=""),"",E129*F129)</f>
        <v/>
      </c>
      <c r="I129" s="44" t="inlineStr">
        <is>
          <t>使用者回報。 完成第3組後骨盆後側微痛；臀推當日停止。</t>
        </is>
      </c>
    </row>
    <row r="130">
      <c r="A130" s="403" t="n">
        <v>46262</v>
      </c>
      <c r="B130" s="34" t="inlineStr">
        <is>
          <t>重訓</t>
        </is>
      </c>
      <c r="C130" s="34" t="inlineStr">
        <is>
          <t>飛鳥夾胸</t>
        </is>
      </c>
      <c r="D130" s="410" t="n">
        <v>1</v>
      </c>
      <c r="E130" s="411" t="n">
        <v>20</v>
      </c>
      <c r="F130" s="411" t="n">
        <v>15</v>
      </c>
      <c r="G130" s="411" t="n">
        <v>3</v>
      </c>
      <c r="H130" s="412">
        <f>IF(OR(E130="",F130=""),"",E130*F130)</f>
        <v/>
      </c>
      <c r="I130" s="44" t="inlineStr">
        <is>
          <t>使用者回報。</t>
        </is>
      </c>
    </row>
    <row r="131">
      <c r="A131" s="403" t="n">
        <v>46262</v>
      </c>
      <c r="B131" s="34" t="inlineStr">
        <is>
          <t>重訓</t>
        </is>
      </c>
      <c r="C131" s="34" t="inlineStr">
        <is>
          <t>飛鳥夾胸</t>
        </is>
      </c>
      <c r="D131" s="410" t="n">
        <v>2</v>
      </c>
      <c r="E131" s="411" t="n">
        <v>20</v>
      </c>
      <c r="F131" s="411" t="n">
        <v>14</v>
      </c>
      <c r="G131" s="411" t="n">
        <v>2</v>
      </c>
      <c r="H131" s="412">
        <f>IF(OR(E131="",F131=""),"",E131*F131)</f>
        <v/>
      </c>
      <c r="I131" s="44" t="inlineStr">
        <is>
          <t>重量未重複提供，沿用上一組 20 kg。</t>
        </is>
      </c>
    </row>
    <row r="132">
      <c r="A132" s="403" t="n">
        <v>46262</v>
      </c>
      <c r="B132" s="34" t="inlineStr">
        <is>
          <t>重訓</t>
        </is>
      </c>
      <c r="C132" s="34" t="inlineStr">
        <is>
          <t>飛鳥夾胸</t>
        </is>
      </c>
      <c r="D132" s="410" t="n">
        <v>3</v>
      </c>
      <c r="E132" s="411" t="n">
        <v>20</v>
      </c>
      <c r="F132" s="411" t="n">
        <v>12</v>
      </c>
      <c r="G132" s="411" t="n">
        <v>1</v>
      </c>
      <c r="H132" s="412">
        <f>IF(OR(E132="",F132=""),"",E132*F132)</f>
        <v/>
      </c>
      <c r="I132" s="44" t="inlineStr">
        <is>
          <t>重量未重複提供，沿用上一組 20 kg。</t>
        </is>
      </c>
    </row>
    <row r="133">
      <c r="A133" s="403" t="n">
        <v>46262</v>
      </c>
      <c r="B133" s="34" t="inlineStr">
        <is>
          <t>重訓</t>
        </is>
      </c>
      <c r="C133" s="34" t="inlineStr">
        <is>
          <t>飛鳥夾胸</t>
        </is>
      </c>
      <c r="D133" s="410" t="n">
        <v>4</v>
      </c>
      <c r="E133" s="411" t="n">
        <v>20</v>
      </c>
      <c r="F133" s="411" t="n">
        <v>10</v>
      </c>
      <c r="G133" s="411" t="n">
        <v>0</v>
      </c>
      <c r="H133" s="412">
        <f>IF(OR(E133="",F133=""),"",E133*F133)</f>
        <v/>
      </c>
      <c r="I133" s="44" t="inlineStr">
        <is>
          <t>重量未重複提供，沿用上一組 20 kg。</t>
        </is>
      </c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03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  <row r="171">
      <c r="A171" s="441" t="n">
        <v>46260</v>
      </c>
      <c r="B171" s="42" t="inlineStr">
        <is>
          <t>晚餐</t>
        </is>
      </c>
      <c r="C171" s="36" t="inlineStr">
        <is>
          <t>使用者回報</t>
        </is>
      </c>
      <c r="D171" s="45" t="inlineStr">
        <is>
          <t>乳清蛋白粉 60g + 肌酸 5g</t>
        </is>
      </c>
      <c r="E171" s="45" t="n">
        <v>45</v>
      </c>
      <c r="F171" s="45" t="n">
        <v>240</v>
      </c>
      <c r="G171" s="45" t="inlineStr">
        <is>
          <t>估算沿用既有設定：乳清蛋白粉 60g 約蛋白質 45g、碳水 6g、240 kcal；肌酸 5g 不另計蛋白質、碳水或熱量。</t>
        </is>
      </c>
      <c r="H171" s="45" t="n">
        <v>6</v>
      </c>
    </row>
    <row r="172">
      <c r="A172" s="441" t="n">
        <v>46260</v>
      </c>
      <c r="B172" s="42" t="inlineStr">
        <is>
          <t>早餐</t>
        </is>
      </c>
      <c r="C172" s="36" t="inlineStr">
        <is>
          <t>使用者回報</t>
        </is>
      </c>
      <c r="D172" s="45" t="inlineStr">
        <is>
          <t>雞胸肉 1 份 + 地瓜 1 份</t>
        </is>
      </c>
      <c r="E172" s="45" t="n">
        <v>32</v>
      </c>
      <c r="F172" s="45" t="n">
        <v>285</v>
      </c>
      <c r="G172" s="45" t="inlineStr">
        <is>
          <t>估算沿用既有設定：雞胸肉 1 份約蛋白質 30g、160 kcal；地瓜 1 份約蛋白質 2g、碳水 35g、125 kcal。</t>
        </is>
      </c>
      <c r="H172" s="45" t="n">
        <v>35</v>
      </c>
    </row>
    <row r="173">
      <c r="A173" s="441" t="n">
        <v>46260</v>
      </c>
      <c r="B173" s="42" t="inlineStr">
        <is>
          <t>午餐</t>
        </is>
      </c>
      <c r="C173" s="36" t="inlineStr">
        <is>
          <t>使用者回報</t>
        </is>
      </c>
      <c r="D173" s="45" t="inlineStr">
        <is>
          <t>未進食</t>
        </is>
      </c>
      <c r="E173" s="45" t="inlineStr"/>
      <c r="F173" s="45" t="inlineStr"/>
      <c r="G173" s="45" t="inlineStr">
        <is>
          <t>使用者明確回報午餐沒有吃。</t>
        </is>
      </c>
      <c r="H173" s="45" t="inlineStr"/>
    </row>
    <row r="174">
      <c r="A174" s="441" t="n">
        <v>46261</v>
      </c>
      <c r="B174" s="42" t="inlineStr">
        <is>
          <t>早餐</t>
        </is>
      </c>
      <c r="C174" s="36" t="inlineStr">
        <is>
          <t>使用者回報</t>
        </is>
      </c>
      <c r="D174" s="45" t="inlineStr">
        <is>
          <t>雞胸肉 1 份 + 7-ELEVEN 海鹽水煮蛋 2 顆 + 地瓜 1 份</t>
        </is>
      </c>
      <c r="E174" s="45" t="n">
        <v>42.8</v>
      </c>
      <c r="F174" s="45" t="n">
        <v>391</v>
      </c>
      <c r="G174" s="45" t="inlineStr">
        <is>
          <t>估算沿用既有設定：雞胸肉 1 份約蛋白質 30g、160 kcal；地瓜 1 份約蛋白質 2g、碳水 35g、125 kcal；7-ELEVEN 海鹽水煮蛋 2 顆沿用先前雞蛋估算，每顆約蛋白質 5.4g、碳水 1.4g、53 kcal。</t>
        </is>
      </c>
      <c r="H174" s="45" t="n">
        <v>37.8</v>
      </c>
    </row>
    <row r="175">
      <c r="A175" s="441" t="n">
        <v>46261</v>
      </c>
      <c r="B175" s="42" t="inlineStr">
        <is>
          <t>晚餐</t>
        </is>
      </c>
      <c r="C175" s="36" t="inlineStr">
        <is>
          <t>使用者回報＋照片估算</t>
        </is>
      </c>
      <c r="D175" s="45" t="inlineStr">
        <is>
          <t>牛腩咖哩飯（牛腩約 7 塊）</t>
        </is>
      </c>
      <c r="E175" s="45" t="n">
        <v>35</v>
      </c>
      <c r="F175" s="45" t="n">
        <v>1050</v>
      </c>
      <c r="G175" s="45" t="inlineStr">
        <is>
          <t>依照片與使用者回報估算：大盤白飯、咖哩醬、馬鈴薯/紅蘿蔔與牛腩約 7 塊。白飯份量看起來偏大，約 2 碗上下；牛腩約 7 塊。整份先估蛋白質約 35g、碳水約 125g、1050 kcal。實際飯量、牛腩肥瘦與咖哩油脂可能使熱量誤差約 ±200 kcal。</t>
        </is>
      </c>
      <c r="H175" s="45" t="n">
        <v>125</v>
      </c>
    </row>
    <row r="176">
      <c r="A176" s="441" t="n">
        <v>46262</v>
      </c>
      <c r="B176" s="42" t="inlineStr">
        <is>
          <t>早餐</t>
        </is>
      </c>
      <c r="C176" s="36" t="inlineStr">
        <is>
          <t>使用者回報</t>
        </is>
      </c>
      <c r="D176" s="45" t="inlineStr">
        <is>
          <t>乳清蛋白粉 40g + 雞胸肉 1 份 + 地瓜 1 份 + 肌酸 5g</t>
        </is>
      </c>
      <c r="E176" s="45" t="n">
        <v>62</v>
      </c>
      <c r="F176" s="45" t="n">
        <v>445</v>
      </c>
      <c r="G176" s="45" t="inlineStr">
        <is>
          <t>估算沿用既有設定：乳清蛋白粉 40g 約蛋白質 30g、碳水 4g、160 kcal；雞胸肉 1 份約蛋白質 30g、160 kcal；地瓜 1 份約蛋白質 2g、碳水 35g、125 kcal；肌酸 5g 不另計蛋白質、碳水或熱量。</t>
        </is>
      </c>
      <c r="H176" s="45" t="n">
        <v>39</v>
      </c>
    </row>
    <row r="177">
      <c r="A177" s="441" t="n">
        <v>46262</v>
      </c>
      <c r="B177" s="42" t="inlineStr">
        <is>
          <t>晚餐</t>
        </is>
      </c>
      <c r="C177" s="36" t="inlineStr">
        <is>
          <t>使用者回報＋7-ELEVEN 官方熱量＋既有雞蛋估算</t>
        </is>
      </c>
      <c r="D177" s="45" t="inlineStr">
        <is>
          <t>7-ELEVEN 林聰明雞肉飯飯糰 1 個 + 茶葉蛋 2 顆</t>
        </is>
      </c>
      <c r="E177" s="45" t="n">
        <v>16.8</v>
      </c>
      <c r="F177" s="45" t="n">
        <v>332</v>
      </c>
      <c r="G177" s="45" t="inlineStr">
        <is>
          <t>7-ELEVEN 官方目前列林聰明-雞肉飯飯糰每個 226 kcal；完整蛋白質與碳水未公開，先以一般同尺寸飯糰約蛋白質 6g、碳水 38g 估算。茶葉蛋 2 顆沿用既有 7-ELEVEN 雞蛋估算，每顆約蛋白質 5.4g、碳水 1.4g、53 kcal。合計約蛋白質 16.8g、碳水 40.8g、332 kcal；若有包裝營養標示可再修正。</t>
        </is>
      </c>
      <c r="H177" s="45" t="n">
        <v>40.8</v>
      </c>
    </row>
    <row r="178">
      <c r="A178" s="441" t="n">
        <v>46262</v>
      </c>
      <c r="B178" s="42" t="inlineStr">
        <is>
          <t>晚餐</t>
        </is>
      </c>
      <c r="C178" s="36" t="inlineStr">
        <is>
          <t>使用者回報＋既有乳清估算</t>
        </is>
      </c>
      <c r="D178" s="45" t="inlineStr">
        <is>
          <t>乳清蛋白粉 80g</t>
        </is>
      </c>
      <c r="E178" s="45" t="n">
        <v>60</v>
      </c>
      <c r="F178" s="45" t="n">
        <v>320</v>
      </c>
      <c r="G178" s="45" t="inlineStr">
        <is>
          <t>估算沿用既有設定：乳清蛋白粉 80g 約蛋白質 60g、碳水 8g、320 kcal。</t>
        </is>
      </c>
      <c r="H178" s="45" t="n">
        <v>8</v>
      </c>
    </row>
    <row r="179">
      <c r="A179" s="441" t="n">
        <v>46262</v>
      </c>
      <c r="B179" s="42" t="inlineStr">
        <is>
          <t>午餐</t>
        </is>
      </c>
      <c r="C179" s="36" t="inlineStr">
        <is>
          <t>使用者回報</t>
        </is>
      </c>
      <c r="D179" s="45" t="inlineStr">
        <is>
          <t>未進食</t>
        </is>
      </c>
      <c r="E179" s="45" t="n">
        <v>0</v>
      </c>
      <c r="F179" s="45" t="n">
        <v>0</v>
      </c>
      <c r="G179" s="45" t="inlineStr">
        <is>
          <t>使用者明確回報今天午餐未進食。</t>
        </is>
      </c>
      <c r="H179" s="45" t="n">
        <v>0</v>
      </c>
    </row>
    <row r="180">
      <c r="A180" s="441" t="n">
        <v>46263</v>
      </c>
      <c r="B180" s="42" t="inlineStr">
        <is>
          <t>早餐</t>
        </is>
      </c>
      <c r="C180" s="36" t="inlineStr">
        <is>
          <t>使用者回報＋既有乳清/地瓜/香蕉估算</t>
        </is>
      </c>
      <c r="D180" s="45" t="inlineStr">
        <is>
          <t>乳清蛋白粉 40g + 雞胸肉 1 份 + 地瓜 1 份 + 香蕉 2 根</t>
        </is>
      </c>
      <c r="E180" s="45" t="n">
        <v>56.6</v>
      </c>
      <c r="F180" s="45" t="n">
        <v>615</v>
      </c>
      <c r="G180" s="45" t="inlineStr">
        <is>
          <t>使用者明確回報雞胸肉蛋白質 22g。估算：乳清蛋白粉 40g 約蛋白質 30g、碳水 4g、160 kcal；雞胸肉本次採蛋白質 22g，熱量先以一般低脂雞胸相近份量估約 120 kcal、碳水 0g；地瓜 1 份約蛋白質 2g、碳水 35g、125 kcal；香蕉 2 根按一般中型香蕉每根約蛋白質 1.3g、碳水 27g、105 kcal。合計約蛋白質 56.6g、碳水 93g、615 kcal。若雞胸包裝有熱量標示可再修正。</t>
        </is>
      </c>
      <c r="H180" s="45" t="n">
        <v>93</v>
      </c>
    </row>
    <row r="181">
      <c r="A181" s="441" t="n">
        <v>46263</v>
      </c>
      <c r="B181" s="42" t="inlineStr">
        <is>
          <t>晚餐</t>
        </is>
      </c>
      <c r="C181" s="36" t="inlineStr">
        <is>
          <t>使用者回報＋公開菜單確認品項＋一般椒麻雞飯營養估算</t>
        </is>
      </c>
      <c r="D181" s="45" t="inlineStr">
        <is>
          <t>梁社漢 椒麻雞飯 1 份</t>
        </is>
      </c>
      <c r="E181" s="45" t="n">
        <v>50</v>
      </c>
      <c r="F181" s="45" t="n">
        <v>900</v>
      </c>
      <c r="G181" s="45" t="inlineStr">
        <is>
          <t>公開菜單可確認梁社漢椒麻雞飯為去骨雞腿、椒麻醬、高麗菜絲與白飯；店家未公開完整營養標示。參考同類椒麻雞腿飯公開營養資料與一般便當份量，先估約蛋白質 50g、碳水 100g、900 kcal；主要誤差來自雞腿油脂、炸粉/吸油、白飯份量與椒麻醬，估計誤差約 ±150–200 kcal。</t>
        </is>
      </c>
      <c r="H181" s="45" t="n">
        <v>100</v>
      </c>
    </row>
    <row r="182">
      <c r="A182" s="441" t="n">
        <v>46263</v>
      </c>
      <c r="B182" s="42" t="inlineStr">
        <is>
          <t>午餐</t>
        </is>
      </c>
      <c r="C182" s="36" t="inlineStr">
        <is>
          <t>使用者回報</t>
        </is>
      </c>
      <c r="D182" s="45" t="inlineStr">
        <is>
          <t>未進食</t>
        </is>
      </c>
      <c r="E182" s="45" t="n">
        <v>0</v>
      </c>
      <c r="F182" s="45" t="n">
        <v>0</v>
      </c>
      <c r="G182" s="45" t="inlineStr">
        <is>
          <t>使用者明確回報今天午餐未進食。</t>
        </is>
      </c>
      <c r="H182" s="45" t="n">
        <v>0</v>
      </c>
    </row>
    <row r="183">
      <c r="A183" s="441" t="n">
        <v>46263</v>
      </c>
      <c r="B183" s="42" t="inlineStr">
        <is>
          <t>晚餐</t>
        </is>
      </c>
      <c r="C183" s="36" t="inlineStr">
        <is>
          <t>使用者回報＋既有乳清估算</t>
        </is>
      </c>
      <c r="D183" s="45" t="inlineStr">
        <is>
          <t>乳清蛋白粉 40g</t>
        </is>
      </c>
      <c r="E183" s="45" t="n">
        <v>30</v>
      </c>
      <c r="F183" s="45" t="n">
        <v>160</v>
      </c>
      <c r="G183" s="45" t="inlineStr">
        <is>
          <t>估算沿用既有設定：乳清蛋白粉 40g 約蛋白質 30g、碳水 4g、160 kcal。</t>
        </is>
      </c>
      <c r="H183" s="45" t="n">
        <v>4</v>
      </c>
    </row>
    <row r="184">
      <c r="A184" s="441" t="n">
        <v>46264</v>
      </c>
      <c r="B184" s="42" t="inlineStr">
        <is>
          <t>早餐</t>
        </is>
      </c>
      <c r="C184" s="36" t="inlineStr">
        <is>
          <t>使用者回報＋既有乳清/雞胸/地瓜估算</t>
        </is>
      </c>
      <c r="D184" s="45" t="inlineStr">
        <is>
          <t>乳清蛋白粉 40g + 雞胸肉 1 份 + 地瓜 1 份</t>
        </is>
      </c>
      <c r="E184" s="45" t="n">
        <v>62</v>
      </c>
      <c r="F184" s="45" t="n">
        <v>445</v>
      </c>
      <c r="G184" s="45" t="inlineStr">
        <is>
          <t>估算沿用既有設定：乳清蛋白粉 40g 約蛋白質 30g、碳水 4g、160 kcal；雞胸肉 1 份約蛋白質 30g、160 kcal；地瓜 1 份約蛋白質 2g、碳水 35g、125 kcal。</t>
        </is>
      </c>
      <c r="H184" s="45" t="n">
        <v>39</v>
      </c>
    </row>
    <row r="185">
      <c r="A185" s="441" t="n">
        <v>46264</v>
      </c>
      <c r="B185" s="42" t="inlineStr">
        <is>
          <t>晚餐</t>
        </is>
      </c>
      <c r="C185" s="36" t="inlineStr">
        <is>
          <t>使用者回報＋一般份量估算</t>
        </is>
      </c>
      <c r="D185" s="45" t="inlineStr">
        <is>
          <t>美式漢堡 1 個 + 雞塊 6 塊</t>
        </is>
      </c>
      <c r="E185" s="45" t="n">
        <v>42</v>
      </c>
      <c r="F185" s="45" t="n">
        <v>850</v>
      </c>
      <c r="G185" s="45" t="inlineStr">
        <is>
          <t>未提供店家、漢堡肉排大小、起司/醬料與雞塊品牌，先按一般美式牛肉漢堡 1 個加雞塊 6 塊透明估算：約蛋白質 42g、碳水 65g、850 kcal。實際熱量受肉排大小、起司、醬料、麵包與炸雞塊吸油量影響，估計誤差約 ±200 kcal；若補充店家或照片可再修正。</t>
        </is>
      </c>
      <c r="H185" s="45" t="n">
        <v>65</v>
      </c>
    </row>
    <row r="186">
      <c r="A186" s="441" t="n">
        <v>46264</v>
      </c>
      <c r="B186" s="42" t="inlineStr">
        <is>
          <t>午餐</t>
        </is>
      </c>
      <c r="C186" s="36" t="inlineStr">
        <is>
          <t>使用者回報</t>
        </is>
      </c>
      <c r="D186" s="45" t="inlineStr">
        <is>
          <t>未進食</t>
        </is>
      </c>
      <c r="E186" s="45" t="n">
        <v>0</v>
      </c>
      <c r="F186" s="45" t="n">
        <v>0</v>
      </c>
      <c r="G186" s="45" t="inlineStr">
        <is>
          <t>使用者明確回報今天午餐未進食。</t>
        </is>
      </c>
      <c r="H186" s="45" t="n">
        <v>0</v>
      </c>
    </row>
    <row r="187">
      <c r="A187" s="441" t="n">
        <v>46265</v>
      </c>
      <c r="B187" s="42" t="inlineStr">
        <is>
          <t>晚餐</t>
        </is>
      </c>
      <c r="C187" s="36" t="inlineStr">
        <is>
          <t>使用者回報＋一般份量估算</t>
        </is>
      </c>
      <c r="D187" s="45" t="inlineStr">
        <is>
          <t>海南雞飯 1 份 + 皮蛋豆腐 1 份 + 胡椒餅 1 個</t>
        </is>
      </c>
      <c r="E187" s="45" t="n">
        <v>55</v>
      </c>
      <c r="F187" s="45" t="n">
        <v>1200</v>
      </c>
      <c r="G187" s="45" t="inlineStr">
        <is>
          <t>未提供店家與實際份量，先以一般外食份量估算：海南雞飯約 650 kcal、蛋白質 38g、碳水 75g；皮蛋豆腐約 220 kcal、蛋白質 11g、碳水 8g；胡椒餅約 330 kcal、蛋白質 6g、碳水 42g。合計約 1200 kcal、蛋白質 55g、碳水 125g。雞皮、雞油飯、醬料、豆腐份量及胡椒餅大小會造成明顯誤差，整餐熱量估計誤差約 ±200 kcal。</t>
        </is>
      </c>
      <c r="H187" s="45" t="n">
        <v>125</v>
      </c>
    </row>
    <row r="188">
      <c r="A188" s="441" t="n">
        <v>46265</v>
      </c>
      <c r="B188" s="42" t="inlineStr">
        <is>
          <t>早餐</t>
        </is>
      </c>
      <c r="C188" s="36" t="inlineStr">
        <is>
          <t>使用者回報＋既有乳清估算</t>
        </is>
      </c>
      <c r="D188" s="45" t="inlineStr">
        <is>
          <t>地瓜（份量未提供） + 乳清蛋白粉 40g + 雞胸肉 1 塊（重量未提供）</t>
        </is>
      </c>
      <c r="E188" s="45" t="n">
        <v>30</v>
      </c>
      <c r="F188" s="45" t="n">
        <v>160</v>
      </c>
      <c r="G188" s="45" t="inlineStr">
        <is>
          <t>乳清蛋白粉 40g 沿用既有估算：約蛋白質 30g、碳水 4g、160 kcal。地瓜份量與雞胸肉重量未提供，依規則不猜份量，因此本列營養數值暫只計入乳清；地瓜與雞胸肉營養待補份量後再修正。</t>
        </is>
      </c>
      <c r="H188" s="45" t="n">
        <v>4</v>
      </c>
    </row>
    <row r="189">
      <c r="A189" s="441" t="n">
        <v>46265</v>
      </c>
      <c r="B189" s="42" t="inlineStr">
        <is>
          <t>午餐</t>
        </is>
      </c>
      <c r="C189" s="36" t="inlineStr">
        <is>
          <t>使用者回報</t>
        </is>
      </c>
      <c r="D189" s="45" t="inlineStr">
        <is>
          <t>未進食</t>
        </is>
      </c>
      <c r="E189" s="45" t="n">
        <v>0</v>
      </c>
      <c r="F189" s="45" t="n">
        <v>0</v>
      </c>
      <c r="G189" s="45" t="inlineStr">
        <is>
          <t>使用者明確回報今天午餐未進食。</t>
        </is>
      </c>
      <c r="H189" s="45" t="n">
        <v>0</v>
      </c>
    </row>
    <row r="190">
      <c r="A190" s="441" t="n">
        <v>46265</v>
      </c>
      <c r="B190" s="42" t="inlineStr">
        <is>
          <t>晚餐</t>
        </is>
      </c>
      <c r="C190" s="36" t="inlineStr">
        <is>
          <t>使用者回報＋既有乳清估算</t>
        </is>
      </c>
      <c r="D190" s="45" t="inlineStr">
        <is>
          <t>乳清蛋白粉 40g</t>
        </is>
      </c>
      <c r="E190" s="45" t="n">
        <v>30</v>
      </c>
      <c r="F190" s="45" t="n">
        <v>160</v>
      </c>
      <c r="G190" s="45" t="inlineStr">
        <is>
          <t>晚餐原有餐點保留，本筆為追加。乳清蛋白粉 40g 沿用既有估算：約蛋白質 30g、碳水 4g、160 kcal。</t>
        </is>
      </c>
      <c r="H190" s="45" t="n">
        <v>4</v>
      </c>
    </row>
    <row r="191">
      <c r="A191" s="441" t="n">
        <v>46266</v>
      </c>
      <c r="B191" s="42" t="inlineStr">
        <is>
          <t>午餐</t>
        </is>
      </c>
      <c r="C191" s="36" t="inlineStr">
        <is>
          <t>使用者回報</t>
        </is>
      </c>
      <c r="D191" s="45" t="inlineStr">
        <is>
          <t>炸雞 3 塊</t>
        </is>
      </c>
      <c r="E191" s="45" t="n">
        <v>50</v>
      </c>
      <c r="F191" s="45" t="n"/>
      <c r="G191" s="45" t="inlineStr">
        <is>
          <t>使用者回報炸雞 3 塊，但未提供店家、部位、單塊大小或重量；依規則不猜份量，因此蛋白質、碳水與熱量暫留空白。 使用者指定炸雞 3 塊蛋白質以 50g 計。</t>
        </is>
      </c>
      <c r="H191" s="45" t="n"/>
    </row>
    <row r="192">
      <c r="A192" s="441" t="n">
        <v>46266</v>
      </c>
      <c r="B192" s="42" t="inlineStr">
        <is>
          <t>晚餐</t>
        </is>
      </c>
      <c r="C192" s="36" t="inlineStr">
        <is>
          <t>使用者更正＋一般中型香蕉估算</t>
        </is>
      </c>
      <c r="D192" s="45" t="inlineStr">
        <is>
          <t>香蕉 1 根</t>
        </is>
      </c>
      <c r="E192" s="45" t="n">
        <v>1.3</v>
      </c>
      <c r="F192" s="45" t="n">
        <v>105</v>
      </c>
      <c r="G192" s="45" t="inlineStr">
        <is>
          <t>使用者更正：晚餐有吃香蕉 1 根，取代先前『未進食』紀錄。未提供重量，按一般中型香蕉透明估算：約蛋白質 1.3g、碳水 27g、105 kcal；實際依大小會有差異。</t>
        </is>
      </c>
      <c r="H192" s="45" t="n">
        <v>27</v>
      </c>
    </row>
    <row r="193">
      <c r="A193" s="441" t="n">
        <v>46266</v>
      </c>
      <c r="B193" s="42" t="inlineStr">
        <is>
          <t>早餐</t>
        </is>
      </c>
      <c r="C193" s="36" t="inlineStr">
        <is>
          <t>使用者更正＋沿用既有固定估算</t>
        </is>
      </c>
      <c r="D193" s="45" t="inlineStr">
        <is>
          <t>地瓜 1 份 + 雞胸肉 1 份 + 乳清蛋白粉 20g</t>
        </is>
      </c>
      <c r="E193" s="45" t="n">
        <v>47</v>
      </c>
      <c r="F193" s="45" t="n">
        <v>365</v>
      </c>
      <c r="G193" s="45" t="inlineStr">
        <is>
          <t>使用者更正早餐份量為地瓜 1 份、雞胸肉 1 份。沿用既有固定估算：地瓜 1 份約蛋白質 2g、碳水 35g、125 kcal；雞胸肉 1 份約蛋白質 30g、160 kcal；乳清蛋白粉 20g 約蛋白質 15g、碳水 2g、80 kcal。合計約蛋白質 47g、碳水 37g、365 kcal。</t>
        </is>
      </c>
      <c r="H193" s="45" t="n">
        <v>37</v>
      </c>
    </row>
    <row r="194">
      <c r="A194" s="441" t="n">
        <v>46266</v>
      </c>
      <c r="B194" s="42" t="inlineStr">
        <is>
          <t>晚餐</t>
        </is>
      </c>
      <c r="C194" s="36" t="inlineStr">
        <is>
          <t>使用者回報＋既有乳清估算</t>
        </is>
      </c>
      <c r="D194" s="45" t="inlineStr">
        <is>
          <t>乳清蛋白粉 40g</t>
        </is>
      </c>
      <c r="E194" s="45" t="n">
        <v>30</v>
      </c>
      <c r="F194" s="45" t="n">
        <v>160</v>
      </c>
      <c r="G194" s="45" t="inlineStr">
        <is>
          <t>晚餐原有香蕉紀錄保留，本筆為追加。乳清蛋白粉 40g 沿用既有估算：約蛋白質 30g、碳水 4g、160 kcal。</t>
        </is>
      </c>
      <c r="H194" s="45" t="n">
        <v>4</v>
      </c>
    </row>
    <row r="195">
      <c r="A195" s="441" t="n">
        <v>46266</v>
      </c>
      <c r="B195" s="42" t="inlineStr">
        <is>
          <t>晚餐</t>
        </is>
      </c>
      <c r="C195" s="36" t="inlineStr">
        <is>
          <t>使用者回報＋小塊切盤水果透明估算</t>
        </is>
      </c>
      <c r="D195" s="45" t="inlineStr">
        <is>
          <t>切盤水果：西瓜 3 小塊 + 蘋果 2 小塊 + 百香果 2 小塊 + 蓮霧 1 小塊 + 芒果 2 小塊</t>
        </is>
      </c>
      <c r="E195" s="45" t="n">
        <v>1.5</v>
      </c>
      <c r="F195" s="45" t="n">
        <v>135</v>
      </c>
      <c r="G195" s="45" t="inlineStr">
        <is>
          <t>使用者回報皆為切成小塊的水果，未提供實際重量。依小塊切盤水果做透明估算：西瓜 3 小塊、蘋果 2 小塊、百香果 2 小塊、蓮霧 1 小塊、芒果 2 小塊，合計約蛋白質 1.5g、碳水 32g、135 kcal；實際會隨切塊大小與百香果可食量變動。</t>
        </is>
      </c>
      <c r="H195" s="45" t="n">
        <v>32</v>
      </c>
    </row>
    <row r="196">
      <c r="A196" s="441" t="n">
        <v>46266</v>
      </c>
      <c r="B196" s="42" t="inlineStr">
        <is>
          <t>晚餐</t>
        </is>
      </c>
      <c r="C196" s="36" t="inlineStr">
        <is>
          <t>使用者回報＋照片份量估算</t>
        </is>
      </c>
      <c r="D196" s="45" t="inlineStr">
        <is>
          <t>水果拼盤：西瓜 3 小塊 + 蘋果 2 小塊 + 百香果 2 小塊 + 蓮霧 1 小塊 + 芒果 2 小塊</t>
        </is>
      </c>
      <c r="E196" s="45" t="n">
        <v>1.5</v>
      </c>
      <c r="F196" s="45" t="n">
        <v>140</v>
      </c>
      <c r="G196" s="45" t="inlineStr">
        <is>
          <t>依使用者明確列出的水果與照片中可見的小份量做透明估算，合計先記約蛋白質 1.5g、碳水 34g、140 kcal；切塊實際重量未量測，誤差可能約 ±40 kcal。照片另可見一大塊淡色瓜類，但使用者文字未提到，依規則暫不計入。</t>
        </is>
      </c>
      <c r="H196" s="45" t="n">
        <v>34</v>
      </c>
    </row>
    <row r="197">
      <c r="A197" s="441" t="n">
        <v>46267</v>
      </c>
      <c r="B197" s="42" t="inlineStr">
        <is>
          <t>晚餐</t>
        </is>
      </c>
      <c r="C197" s="36" t="inlineStr">
        <is>
          <t>使用者回報＋麥當勞台灣官方營養資料／透明估算</t>
        </is>
      </c>
      <c r="D197" s="45" t="inlineStr">
        <is>
          <t>麥當勞：大麥克 1 個 + 麥克鷄塊 6 塊 + 大薯 1 份 + 無糖可樂</t>
        </is>
      </c>
      <c r="E197" s="45" t="n">
        <v>52</v>
      </c>
      <c r="F197" s="45" t="n">
        <v>1370</v>
      </c>
      <c r="G197" s="45" t="inlineStr">
        <is>
          <t>大麥克採麥當勞台灣公開營養資料約 604 kcal、蛋白質 28g、碳水 51g；大薯採官方公開資料約 499 kcal、蛋白質 7.8g、碳水 66.2g；6 塊原味麥克鷄塊因官網頁面本次未直接顯示完整數字，依同品項近期公開資料透明估約 267 kcal、蛋白質 16g、碳水 16g；無糖可樂按 0 kcal 計。未提及沾醬，因此不另計。合計約 1370 kcal、蛋白質 52g、碳水 133g。</t>
        </is>
      </c>
      <c r="H197" s="45" t="n">
        <v>133</v>
      </c>
    </row>
    <row r="198">
      <c r="A198" s="441" t="n">
        <v>46267</v>
      </c>
      <c r="B198" s="42" t="inlineStr">
        <is>
          <t>早餐</t>
        </is>
      </c>
      <c r="C198" s="36" t="inlineStr">
        <is>
          <t>使用者回報＋既有 7-ELEVEN 飯糰紀錄</t>
        </is>
      </c>
      <c r="D198" s="45" t="inlineStr">
        <is>
          <t>7-ELEVEN 鮮蔬鮪魚御飯糰 1 個</t>
        </is>
      </c>
      <c r="E198" s="45" t="n">
        <v>5.2</v>
      </c>
      <c r="F198" s="45" t="n">
        <v>234</v>
      </c>
      <c r="G198" s="45" t="inlineStr">
        <is>
          <t>沿用追蹤表既有 7-ELEVEN 雙蔬／鮮蔬鮪魚飯糰設定：約 234 kcal、蛋白質 5.2g；碳水未有本次包裝標示，按既有同尺寸飯糰估算約 45g。</t>
        </is>
      </c>
      <c r="H198" s="45" t="n">
        <v>45</v>
      </c>
    </row>
    <row r="199">
      <c r="A199" s="441" t="n">
        <v>46267</v>
      </c>
      <c r="B199" s="42" t="inlineStr">
        <is>
          <t>午餐</t>
        </is>
      </c>
      <c r="C199" s="36" t="inlineStr">
        <is>
          <t>使用者回報＋既有 7-ELEVEN 飯糰／乳清估算</t>
        </is>
      </c>
      <c r="D199" s="45" t="inlineStr">
        <is>
          <t>7-ELEVEN 肉鬆御飯糰 1 個 + 乳清蛋白粉 40g</t>
        </is>
      </c>
      <c r="E199" s="45" t="n">
        <v>35.5</v>
      </c>
      <c r="F199" s="45" t="n">
        <v>411</v>
      </c>
      <c r="G199" s="45" t="inlineStr">
        <is>
          <t>肉鬆御飯糰沿用追蹤表既有設定：約 251 kcal、蛋白質 5.5g，碳水約 45g；乳清蛋白粉 40g 沿用既有設定：約 160 kcal、蛋白質 30g、碳水 4g。合計約 411 kcal、蛋白質 35.5g、碳水 49g。</t>
        </is>
      </c>
      <c r="H199" s="45" t="n">
        <v>49</v>
      </c>
    </row>
    <row r="200">
      <c r="A200" s="441" t="n">
        <v>46267</v>
      </c>
      <c r="B200" s="42" t="inlineStr">
        <is>
          <t>晚餐</t>
        </is>
      </c>
      <c r="C200" s="36" t="inlineStr">
        <is>
          <t>使用者回報＋既有乳清估算</t>
        </is>
      </c>
      <c r="D200" s="45" t="inlineStr">
        <is>
          <t>乳清蛋白粉 40g</t>
        </is>
      </c>
      <c r="E200" s="45" t="n">
        <v>30</v>
      </c>
      <c r="F200" s="45" t="n">
        <v>160</v>
      </c>
      <c r="G200" s="45" t="inlineStr">
        <is>
          <t>使用者補充今天另外喝了乳清蛋白粉 40g；本筆為追加，不覆蓋既有早餐、午餐與晚餐紀錄。沿用既有估算：約蛋白質 30g、碳水 4g、160 kcal。</t>
        </is>
      </c>
      <c r="H200" s="45" t="n">
        <v>4</v>
      </c>
    </row>
    <row r="201">
      <c r="A201" s="441" t="n">
        <v>46268</v>
      </c>
      <c r="B201" s="42" t="inlineStr">
        <is>
          <t>早餐</t>
        </is>
      </c>
      <c r="C201" s="36" t="inlineStr">
        <is>
          <t>使用者更正＋既有地瓜設定＋7-ELEVEN官方現售品項資料</t>
        </is>
      </c>
      <c r="D201" s="45" t="inlineStr">
        <is>
          <t>7-ELEVEN 30元地瓜 1 份 + 21Plus剝皮辣椒雞胸肉 1 包（145g）</t>
        </is>
      </c>
      <c r="E201" s="45" t="n">
        <v>32</v>
      </c>
      <c r="F201" s="45" t="n">
        <v>288</v>
      </c>
      <c r="G201" s="45" t="inlineStr">
        <is>
          <t>使用者更正實際品項：地瓜為 7-ELEVEN 現售 30 元地瓜；雞胸為 21Plus 剝皮辣椒雞胸肉。地瓜沿用追蹤表既有 1 份設定：約蛋白質 2g、碳水 35g、125 kcal。21Plus 剝皮辣椒雞胸肉目前 7-ELEVEN 現售規格為 145g，官方頁面列熱量 163 kcal；官方頁面未列完整蛋白質數字，本筆蛋白質先沿用一包雞胸約 30g 的透明估算。合計約蛋白質 32g、288 kcal；碳水 35g 僅計入地瓜，雞胸調味碳水未有可靠標示故不猜。</t>
        </is>
      </c>
      <c r="H201" s="45" t="n">
        <v>35</v>
      </c>
    </row>
    <row r="202">
      <c r="A202" s="441" t="n">
        <v>46268</v>
      </c>
      <c r="B202" s="42" t="inlineStr">
        <is>
          <t>晚餐</t>
        </is>
      </c>
      <c r="C202" s="36" t="inlineStr">
        <is>
          <t>使用者回報</t>
        </is>
      </c>
      <c r="D202" s="45" t="inlineStr">
        <is>
          <t>青醬義大利麵 + 小雞腿</t>
        </is>
      </c>
      <c r="E202" s="45" t="n">
        <v>42</v>
      </c>
      <c r="F202" s="45" t="n">
        <v>900</v>
      </c>
      <c r="G202" s="45" t="inlineStr">
        <is>
          <t>使用者回報晚餐吃青醬義大利麵與小雞腿；未提供義大利麵實際份量、雞腿數量或重量，依規則不猜營養數值。 依使用者提供照片做透明估算：青醬義大利麵約 1 份偏大份量，麵體約 250–300g 熟重並含青醬與可見雞肉；另有 1 支小雞腿。整餐先估約蛋白質 42g、碳水 95g、900 kcal。實際會受青醬用油/起司量、麵量與雞腿大小影響，熱量誤差約 ±150–200 kcal。照片中的飲料因種類未確認，不計入。</t>
        </is>
      </c>
      <c r="H202" s="45" t="n">
        <v>95</v>
      </c>
    </row>
    <row r="203">
      <c r="A203" s="441" t="n">
        <v>46268</v>
      </c>
      <c r="B203" s="42" t="inlineStr">
        <is>
          <t>午餐</t>
        </is>
      </c>
      <c r="C203" s="36" t="inlineStr">
        <is>
          <t>使用者回報</t>
        </is>
      </c>
      <c r="D203" s="45" t="inlineStr">
        <is>
          <t>未進食</t>
        </is>
      </c>
      <c r="E203" s="45" t="n">
        <v>0</v>
      </c>
      <c r="F203" s="45" t="n">
        <v>0</v>
      </c>
      <c r="G203" s="45" t="inlineStr">
        <is>
          <t>使用者明確回報今天午餐未進食。</t>
        </is>
      </c>
      <c r="H203" s="45" t="n">
        <v>0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8" customWidth="1" min="3" max="3"/>
    <col width="14" customWidth="1" min="4" max="4"/>
    <col width="12" customWidth="1" min="5" max="5"/>
    <col width="14" customWidth="1" min="6" max="6"/>
    <col width="12" customWidth="1" min="7" max="7"/>
    <col width="48" customWidth="1" min="8" max="8"/>
  </cols>
  <sheetData>
    <row r="1">
      <c r="A1" s="447" t="inlineStr">
        <is>
          <t>日期</t>
        </is>
      </c>
      <c r="B1" s="447" t="inlineStr">
        <is>
          <t>有氧類型</t>
        </is>
      </c>
      <c r="C1" s="447" t="inlineStr">
        <is>
          <t>段次</t>
        </is>
      </c>
      <c r="D1" s="447" t="inlineStr">
        <is>
          <t>時間（分鐘）</t>
        </is>
      </c>
      <c r="E1" s="447" t="inlineStr">
        <is>
          <t>坡度（%）</t>
        </is>
      </c>
      <c r="F1" s="447" t="inlineStr">
        <is>
          <t>速度（km/h）</t>
        </is>
      </c>
      <c r="G1" s="447" t="inlineStr">
        <is>
          <t>距離（km）</t>
        </is>
      </c>
      <c r="H1" s="447" t="inlineStr">
        <is>
          <t>備註</t>
        </is>
      </c>
    </row>
    <row r="2">
      <c r="A2" s="21" t="n">
        <v>46262</v>
      </c>
      <c r="B2" t="inlineStr">
        <is>
          <t>跑步機爬坡</t>
        </is>
      </c>
      <c r="C2" t="n">
        <v>1</v>
      </c>
      <c r="D2" t="n">
        <v>20</v>
      </c>
      <c r="E2" t="n">
        <v>12</v>
      </c>
      <c r="F2" t="n">
        <v>4.1</v>
      </c>
      <c r="H2" t="inlineStr">
        <is>
          <t>使用者回報：爬坡坡度 12、速度 4.1 km/h、20 分鐘；獨立記錄，不併入散步分鐘。</t>
        </is>
      </c>
    </row>
    <row r="3">
      <c r="A3" s="21" t="n">
        <v>46267</v>
      </c>
      <c r="B3" t="inlineStr">
        <is>
          <t>跑步機爬坡</t>
        </is>
      </c>
      <c r="C3" t="n">
        <v>1</v>
      </c>
      <c r="D3" t="n">
        <v>30</v>
      </c>
      <c r="E3" t="n">
        <v>12</v>
      </c>
      <c r="F3" t="n">
        <v>4.1</v>
      </c>
      <c r="H3" t="inlineStr">
        <is>
          <t>使用者回報：爬坡坡度 12、速度 4.1 km/h、30 分鐘；獨立記錄，不併入散步分鐘。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30" customWidth="1" min="3" max="3"/>
    <col width="28" customWidth="1" min="4" max="4"/>
    <col width="15" customWidth="1" min="5" max="5"/>
    <col width="20" customWidth="1" min="6" max="6"/>
    <col width="12" customWidth="1" min="7" max="7"/>
    <col width="12" customWidth="1" min="8" max="8"/>
    <col width="80" customWidth="1" min="9" max="9"/>
    <col width="30" customWidth="1" min="10" max="10"/>
    <col width="75" customWidth="1" min="11" max="11"/>
  </cols>
  <sheetData>
    <row r="1">
      <c r="A1" s="448" t="inlineStr">
        <is>
          <t>動作</t>
        </is>
      </c>
      <c r="B1" s="448" t="inlineStr">
        <is>
          <t>建議下次重量（kg）</t>
        </is>
      </c>
      <c r="C1" s="448" t="inlineStr">
        <is>
          <t>建議目標次數</t>
        </is>
      </c>
      <c r="D1" s="448" t="inlineStr">
        <is>
          <t>建議DBR</t>
        </is>
      </c>
      <c r="E1" s="448" t="inlineStr">
        <is>
          <t>最近訓練日期</t>
        </is>
      </c>
      <c r="F1" s="448" t="inlineStr">
        <is>
          <t>最近使用重量（kg）</t>
        </is>
      </c>
      <c r="G1" s="448" t="inlineStr">
        <is>
          <t>最近次數</t>
        </is>
      </c>
      <c r="H1" s="448" t="inlineStr">
        <is>
          <t>最近DBR</t>
        </is>
      </c>
      <c r="I1" s="448" t="inlineStr">
        <is>
          <t>最近訓練摘要</t>
        </is>
      </c>
      <c r="J1" s="448" t="inlineStr">
        <is>
          <t>狀態／注意</t>
        </is>
      </c>
      <c r="K1" s="448" t="inlineStr">
        <is>
          <t>建議依據</t>
        </is>
      </c>
    </row>
    <row r="2">
      <c r="A2" t="inlineStr">
        <is>
          <t>上斜胸推</t>
        </is>
      </c>
      <c r="B2" t="n">
        <v>25</v>
      </c>
      <c r="C2" t="inlineStr">
        <is>
          <t>10–15（特殊動作可依既有表現調整）</t>
        </is>
      </c>
      <c r="D2" t="inlineStr">
        <is>
          <t>1–3；最後一組可視情況 DBR0</t>
        </is>
      </c>
      <c r="E2" t="inlineStr">
        <is>
          <t>2026-08-28</t>
        </is>
      </c>
      <c r="F2" t="n">
        <v>25</v>
      </c>
      <c r="G2" t="n">
        <v>10</v>
      </c>
      <c r="H2" t="n">
        <v>0</v>
      </c>
      <c r="I2" s="449" t="inlineStr">
        <is>
          <t>25kg×13/DBR2；25kg×12/DBR3；25kg×13/DBR1；25kg×10/DBR0</t>
        </is>
      </c>
      <c r="J2" s="449" t="inlineStr">
        <is>
          <t>正常</t>
        </is>
      </c>
      <c r="K2" s="449" t="inlineStr">
        <is>
          <t>最近一次訓練中 25 kg 有 3 組落在約 8–20 下、DBR1–3；以可重複的工作組表現優先，不直接選最高重量。</t>
        </is>
      </c>
    </row>
    <row r="3">
      <c r="A3" t="inlineStr">
        <is>
          <t>划船</t>
        </is>
      </c>
      <c r="B3" t="n">
        <v>26.25</v>
      </c>
      <c r="C3" t="inlineStr">
        <is>
          <t>10–15（特殊動作可依既有表現調整）</t>
        </is>
      </c>
      <c r="D3" t="inlineStr">
        <is>
          <t>1–3；最後一組可視情況 DBR0</t>
        </is>
      </c>
      <c r="E3" t="inlineStr">
        <is>
          <t>2026-08-24</t>
        </is>
      </c>
      <c r="F3" t="n">
        <v>26.25</v>
      </c>
      <c r="G3" t="n">
        <v>13</v>
      </c>
      <c r="H3" t="n">
        <v>0</v>
      </c>
      <c r="I3" s="449" t="inlineStr">
        <is>
          <t>30kg×14/DBR0；26.25kg×15/DBR1；26.25kg×15/DBR0；26.25kg×13/DBR0</t>
        </is>
      </c>
      <c r="J3" s="449" t="inlineStr">
        <is>
          <t>正常</t>
        </is>
      </c>
      <c r="K3" s="449" t="inlineStr">
        <is>
          <t>最近一次訓練中 26.25 kg 有 1 組落在約 8–20 下、DBR1–3；以可重複的工作組表現優先，不直接選最高重量。</t>
        </is>
      </c>
    </row>
    <row r="4">
      <c r="A4" t="inlineStr">
        <is>
          <t>反向飛鳥</t>
        </is>
      </c>
      <c r="B4" t="n">
        <v>20</v>
      </c>
      <c r="C4" t="inlineStr">
        <is>
          <t>10–15（特殊動作可依既有表現調整）</t>
        </is>
      </c>
      <c r="D4" t="inlineStr">
        <is>
          <t>1–3；最後一組可視情況 DBR0</t>
        </is>
      </c>
      <c r="E4" t="inlineStr">
        <is>
          <t>2026-08-18</t>
        </is>
      </c>
      <c r="F4" t="n">
        <v>20</v>
      </c>
      <c r="G4" t="n">
        <v>15</v>
      </c>
      <c r="H4" t="n">
        <v>0</v>
      </c>
      <c r="I4" s="449" t="inlineStr">
        <is>
          <t>20kg×12/DBR3；20kg×13/DBR0；20kg×13/DBR0；20kg×15/DBR0</t>
        </is>
      </c>
      <c r="J4" s="449" t="inlineStr">
        <is>
          <t>正常</t>
        </is>
      </c>
      <c r="K4" s="449" t="inlineStr">
        <is>
          <t>最近一次訓練中 20 kg 有 1 組落在約 8–20 下、DBR1–3；以可重複的工作組表現優先，不直接選最高重量。</t>
        </is>
      </c>
    </row>
    <row r="5">
      <c r="A5" t="inlineStr">
        <is>
          <t>啞鈴側平舉</t>
        </is>
      </c>
      <c r="B5" t="n">
        <v>10</v>
      </c>
      <c r="C5" t="inlineStr">
        <is>
          <t>10–15（特殊動作可依既有表現調整）</t>
        </is>
      </c>
      <c r="D5" t="inlineStr">
        <is>
          <t>1–3；最後一組可視情況 DBR0</t>
        </is>
      </c>
      <c r="E5" t="inlineStr">
        <is>
          <t>2026-08-11</t>
        </is>
      </c>
      <c r="F5" t="n">
        <v>10</v>
      </c>
      <c r="G5" t="n">
        <v>14</v>
      </c>
      <c r="H5" t="n">
        <v>0</v>
      </c>
      <c r="I5" s="449" t="inlineStr">
        <is>
          <t>10kg×15/DBR3；10kg×17/DBR1；10kg×14/DBR0；10kg×14/DBR0</t>
        </is>
      </c>
      <c r="J5" s="449" t="inlineStr">
        <is>
          <t>正常</t>
        </is>
      </c>
      <c r="K5" s="449" t="inlineStr">
        <is>
          <t>最近一次訓練中 10 kg 有 2 組落在約 8–20 下、DBR1–3；以可重複的工作組表現優先，不直接選最高重量。</t>
        </is>
      </c>
    </row>
    <row r="6">
      <c r="A6" t="inlineStr">
        <is>
          <t>滑輪下拉</t>
        </is>
      </c>
      <c r="B6" t="n">
        <v>33.75</v>
      </c>
      <c r="C6" t="inlineStr">
        <is>
          <t>10–15（特殊動作可依既有表現調整）</t>
        </is>
      </c>
      <c r="D6" t="inlineStr">
        <is>
          <t>1–3；最後一組可視情況 DBR0</t>
        </is>
      </c>
      <c r="E6" t="inlineStr">
        <is>
          <t>2026-08-24</t>
        </is>
      </c>
      <c r="F6" t="n">
        <v>30.75</v>
      </c>
      <c r="G6" t="n">
        <v>15</v>
      </c>
      <c r="H6" t="n">
        <v>0</v>
      </c>
      <c r="I6" s="449" t="inlineStr">
        <is>
          <t>30kg×15/DBR5；33.75kg×15/DBR4；33.75kg×15/DBR3；33.75kg×15/DBR1；30.75kg×15/DBR0</t>
        </is>
      </c>
      <c r="J6" s="449" t="inlineStr">
        <is>
          <t>正常</t>
        </is>
      </c>
      <c r="K6" s="449" t="inlineStr">
        <is>
          <t>最近一次訓練中 33.75 kg 有 2 組落在約 8–20 下、DBR1–3；以可重複的工作組表現優先，不直接選最高重量。</t>
        </is>
      </c>
    </row>
    <row r="7">
      <c r="A7" t="inlineStr">
        <is>
          <t>睾丸繩下拉</t>
        </is>
      </c>
      <c r="B7" t="n">
        <v>6.25</v>
      </c>
      <c r="C7" t="inlineStr">
        <is>
          <t>10–15（特殊動作可依既有表現調整）</t>
        </is>
      </c>
      <c r="D7" t="inlineStr">
        <is>
          <t>1–3；最後一組可視情況 DBR0</t>
        </is>
      </c>
      <c r="E7" t="inlineStr">
        <is>
          <t>2026-08-14</t>
        </is>
      </c>
      <c r="F7" t="n">
        <v>6.25</v>
      </c>
      <c r="G7" t="n">
        <v>11</v>
      </c>
      <c r="H7" t="n">
        <v>0</v>
      </c>
      <c r="I7" s="449" t="inlineStr">
        <is>
          <t>8.75kg×11/DBR0；8.75kg×10/DBR0；6.25kg×13/DBR0；6.25kg×13/DBR0；6.25kg×11/DBR0</t>
        </is>
      </c>
      <c r="J7" s="449" t="inlineStr">
        <is>
          <t>正常</t>
        </is>
      </c>
      <c r="K7" s="449" t="inlineStr">
        <is>
          <t>最近一次已知組多為力竭；下次採該次較低重量重新建立 DBR1–3 的工作組。</t>
        </is>
      </c>
    </row>
    <row r="8">
      <c r="A8" t="inlineStr">
        <is>
          <t>羅馬尼亞分腿蹲</t>
        </is>
      </c>
      <c r="B8" t="n">
        <v>5</v>
      </c>
      <c r="C8" t="inlineStr">
        <is>
          <t>10–15（特殊動作可依既有表現調整）</t>
        </is>
      </c>
      <c r="D8" t="inlineStr">
        <is>
          <t>1–3；最後一組可視情況 DBR0</t>
        </is>
      </c>
      <c r="E8" t="inlineStr">
        <is>
          <t>2026-08-28</t>
        </is>
      </c>
      <c r="F8" t="n">
        <v>5</v>
      </c>
      <c r="G8" t="n">
        <v>15</v>
      </c>
      <c r="H8" t="n">
        <v>1</v>
      </c>
      <c r="I8" s="449" t="inlineStr">
        <is>
          <t>左5kg×12/DBR3；右5kg×12/DBR3；左5kg×15/DBR2；右5kg×15/DBR3；左5kg×13/DBR1；右5kg×13/DBR2；左5kg×15/DBR1；右5kg×15/DBR1</t>
        </is>
      </c>
      <c r="J8" s="449" t="inlineStr">
        <is>
          <t>正常</t>
        </is>
      </c>
      <c r="K8" s="449" t="inlineStr">
        <is>
          <t>最近一次訓練中 5 kg 有 8 組落在約 8–20 下、DBR1–3；以可重複的工作組表現優先，不直接選最高重量。</t>
        </is>
      </c>
    </row>
    <row r="9">
      <c r="A9" t="inlineStr">
        <is>
          <t>羅馬尼亞蹲</t>
        </is>
      </c>
      <c r="B9" t="n">
        <v>5</v>
      </c>
      <c r="C9" t="inlineStr">
        <is>
          <t>10–15（特殊動作可依既有表現調整）</t>
        </is>
      </c>
      <c r="D9" t="inlineStr">
        <is>
          <t>1–3；最後一組可視情況 DBR0</t>
        </is>
      </c>
      <c r="E9" t="inlineStr">
        <is>
          <t>2026-08-12</t>
        </is>
      </c>
      <c r="F9" t="n">
        <v>5</v>
      </c>
      <c r="G9" t="n">
        <v>14</v>
      </c>
      <c r="H9" t="n">
        <v>0</v>
      </c>
      <c r="I9" s="449" t="inlineStr">
        <is>
          <t>左自重×15/DBR3；右自重×15/DBR3；左5kg×15/DBR2；右5kg×8/DBR0；左5kg×14/DBR0；右5kg×14/DBR0；左5kg×14/DBR0；右5kg×14/DBR0</t>
        </is>
      </c>
      <c r="J9" s="449" t="inlineStr">
        <is>
          <t>正常</t>
        </is>
      </c>
      <c r="K9" s="449" t="inlineStr">
        <is>
          <t>最近一次訓練中 5 kg 有 1 組落在約 8–20 下、DBR1–3；以可重複的工作組表現優先，不直接選最高重量。</t>
        </is>
      </c>
    </row>
    <row r="10">
      <c r="A10" t="inlineStr">
        <is>
          <t>腿內收</t>
        </is>
      </c>
      <c r="B10" t="n">
        <v>37.5</v>
      </c>
      <c r="C10" t="inlineStr">
        <is>
          <t>10–15（特殊動作可依既有表現調整）</t>
        </is>
      </c>
      <c r="D10" t="inlineStr">
        <is>
          <t>1–3；最後一組可視情況 DBR0</t>
        </is>
      </c>
      <c r="E10" t="inlineStr">
        <is>
          <t>2026-08-08</t>
        </is>
      </c>
      <c r="F10" t="n">
        <v>37.5</v>
      </c>
      <c r="G10" t="n">
        <v>13</v>
      </c>
      <c r="H10" t="n">
        <v>3</v>
      </c>
      <c r="I10" s="449" t="inlineStr">
        <is>
          <t>37.5kg×13/DBR3；37.5kg×13/DBR3</t>
        </is>
      </c>
      <c r="J10" s="449" t="inlineStr">
        <is>
          <t>正常</t>
        </is>
      </c>
      <c r="K10" s="449" t="inlineStr">
        <is>
          <t>最近一次訓練中 37.5 kg 有 2 組落在約 8–20 下、DBR1–3；以可重複的工作組表現優先，不直接選最高重量。</t>
        </is>
      </c>
    </row>
    <row r="11">
      <c r="A11" t="inlineStr">
        <is>
          <t>腿外展</t>
        </is>
      </c>
      <c r="B11" t="n">
        <v>25</v>
      </c>
      <c r="C11" t="inlineStr">
        <is>
          <t>10–15（特殊動作可依既有表現調整）</t>
        </is>
      </c>
      <c r="D11" t="inlineStr">
        <is>
          <t>1–3；最後一組可視情況 DBR0</t>
        </is>
      </c>
      <c r="E11" t="inlineStr">
        <is>
          <t>2026-08-24</t>
        </is>
      </c>
      <c r="F11" t="n">
        <v>25</v>
      </c>
      <c r="G11" t="n">
        <v>15</v>
      </c>
      <c r="H11" t="n">
        <v>1</v>
      </c>
      <c r="I11" s="449" t="inlineStr">
        <is>
          <t>32kg×15/DBR1；32kg×15/DBR1；32kg×15/DBR0；25kg×15/DBR2；25kg×15/DBR1</t>
        </is>
      </c>
      <c r="J11" s="449" t="inlineStr">
        <is>
          <t>正常</t>
        </is>
      </c>
      <c r="K11" s="449" t="inlineStr">
        <is>
          <t>最近一次訓練中 25 kg 有 2 組落在約 8–20 下、DBR1–3；以可重複的工作組表現優先，不直接選最高重量。</t>
        </is>
      </c>
    </row>
    <row r="12">
      <c r="A12" t="inlineStr">
        <is>
          <t>腿後勾</t>
        </is>
      </c>
      <c r="B12" t="n">
        <v>40</v>
      </c>
      <c r="C12" t="inlineStr">
        <is>
          <t>10–15（特殊動作可依既有表現調整）</t>
        </is>
      </c>
      <c r="D12" t="inlineStr">
        <is>
          <t>1–3；最後一組可視情況 DBR0</t>
        </is>
      </c>
      <c r="E12" t="inlineStr">
        <is>
          <t>2026-08-14</t>
        </is>
      </c>
      <c r="F12" t="n">
        <v>40</v>
      </c>
      <c r="G12" t="n">
        <v>15</v>
      </c>
      <c r="H12" t="n">
        <v>0</v>
      </c>
      <c r="I12" s="449" t="inlineStr">
        <is>
          <t>40kg×15/DBR2；40kg×15/DBR1；40kg×15/DBR1；40kg×15/DBR0</t>
        </is>
      </c>
      <c r="J12" s="449" t="inlineStr">
        <is>
          <t>正常</t>
        </is>
      </c>
      <c r="K12" s="449" t="inlineStr">
        <is>
          <t>最近一次訓練中 40 kg 有 3 組落在約 8–20 下、DBR1–3；以可重複的工作組表現優先，不直接選最高重量。</t>
        </is>
      </c>
    </row>
    <row r="13">
      <c r="A13" t="inlineStr">
        <is>
          <t>腿推舉</t>
        </is>
      </c>
      <c r="B13" t="n">
        <v>40</v>
      </c>
      <c r="C13" t="inlineStr">
        <is>
          <t>10–15（特殊動作可依既有表現調整）</t>
        </is>
      </c>
      <c r="D13" t="inlineStr">
        <is>
          <t>1–3；最後一組可視情況 DBR0</t>
        </is>
      </c>
      <c r="E13" t="inlineStr">
        <is>
          <t>2026-08-04</t>
        </is>
      </c>
      <c r="F13" t="n">
        <v>40</v>
      </c>
      <c r="G13" t="n">
        <v>16</v>
      </c>
      <c r="H13" t="n">
        <v>0</v>
      </c>
      <c r="I13" s="449" t="inlineStr">
        <is>
          <t>40kg×16/DBR3；40kg×18/DBR2；40kg×16/DBR1；40kg×16/DBR0</t>
        </is>
      </c>
      <c r="J13" s="449" t="inlineStr">
        <is>
          <t>正常</t>
        </is>
      </c>
      <c r="K13" s="449" t="inlineStr">
        <is>
          <t>最近一次訓練中 40 kg 有 3 組落在約 8–20 下、DBR1–3；以可重複的工作組表現優先，不直接選最高重量。</t>
        </is>
      </c>
    </row>
    <row r="14">
      <c r="A14" t="inlineStr">
        <is>
          <t>臀推機</t>
        </is>
      </c>
      <c r="B14" t="inlineStr"/>
      <c r="C14" t="inlineStr">
        <is>
          <t>10–15（特殊動作可依既有表現調整）</t>
        </is>
      </c>
      <c r="D14" t="inlineStr">
        <is>
          <t>1–3；最後一組可視情況 DBR0</t>
        </is>
      </c>
      <c r="E14" t="inlineStr">
        <is>
          <t>2026-08-28</t>
        </is>
      </c>
      <c r="F14" t="n">
        <v>20</v>
      </c>
      <c r="G14" t="n">
        <v>12</v>
      </c>
      <c r="H14" t="n">
        <v>2</v>
      </c>
      <c r="I14" s="449" t="inlineStr">
        <is>
          <t>20kg×12/DBR3；20kg×12/DBR2；20kg×12/DBR2</t>
        </is>
      </c>
      <c r="J14" s="449" t="inlineStr">
        <is>
          <t>疼痛／不適：暫不自動推薦重量</t>
        </is>
      </c>
      <c r="K14" s="449" t="inlineStr">
        <is>
          <t>最近一次訓練備註出現疼痛／不適；保留歷史重量，但下次先確認無痛，不依重量基準直接加載。</t>
        </is>
      </c>
    </row>
    <row r="15">
      <c r="A15" t="inlineStr">
        <is>
          <t>蝴蝶機夾胸</t>
        </is>
      </c>
      <c r="B15" t="n">
        <v>25</v>
      </c>
      <c r="C15" t="inlineStr">
        <is>
          <t>10–15（特殊動作可依既有表現調整）</t>
        </is>
      </c>
      <c r="D15" t="inlineStr">
        <is>
          <t>1–3；最後一組可視情況 DBR0</t>
        </is>
      </c>
      <c r="E15" t="inlineStr">
        <is>
          <t>2026-08-12</t>
        </is>
      </c>
      <c r="F15" t="n">
        <v>20</v>
      </c>
      <c r="G15" t="n">
        <v>13</v>
      </c>
      <c r="H15" t="n">
        <v>0</v>
      </c>
      <c r="I15" s="449" t="inlineStr">
        <is>
          <t>25kg×15/DBR3；20kg×15/DBR0；25kg×7/DBR0；20kg×13/DBR0</t>
        </is>
      </c>
      <c r="J15" s="449" t="inlineStr">
        <is>
          <t>正常</t>
        </is>
      </c>
      <c r="K15" s="449" t="inlineStr">
        <is>
          <t>最近一次訓練中 25 kg 有 1 組落在約 8–20 下、DBR1–3；以可重複的工作組表現優先，不直接選最高重量。</t>
        </is>
      </c>
    </row>
    <row r="16">
      <c r="A16" t="inlineStr">
        <is>
          <t>飛鳥夾胸</t>
        </is>
      </c>
      <c r="B16" t="n">
        <v>20</v>
      </c>
      <c r="C16" t="inlineStr">
        <is>
          <t>10–15（特殊動作可依既有表現調整）</t>
        </is>
      </c>
      <c r="D16" t="inlineStr">
        <is>
          <t>1–3；最後一組可視情況 DBR0</t>
        </is>
      </c>
      <c r="E16" t="inlineStr">
        <is>
          <t>2026-08-28</t>
        </is>
      </c>
      <c r="F16" t="n">
        <v>20</v>
      </c>
      <c r="G16" t="n">
        <v>10</v>
      </c>
      <c r="H16" t="n">
        <v>0</v>
      </c>
      <c r="I16" s="449" t="inlineStr">
        <is>
          <t>20kg×15/DBR3；20kg×14/DBR2；20kg×12/DBR1；20kg×10/DBR0</t>
        </is>
      </c>
      <c r="J16" s="449" t="inlineStr">
        <is>
          <t>正常</t>
        </is>
      </c>
      <c r="K16" s="449" t="inlineStr">
        <is>
          <t>最近一次訓練中 20 kg 有 3 組落在約 8–20 下、DBR1–3；以可重複的工作組表現優先，不直接選最高重量。</t>
        </is>
      </c>
    </row>
  </sheetData>
  <autoFilter ref="A1:K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2026-09-03T14:10:12Z</dcterms:modified>
</cp:coreProperties>
</file>