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總覽" sheetId="1" state="visible" r:id="rId1"/>
    <sheet name="每日檢核" sheetId="2" state="visible" r:id="rId2"/>
    <sheet name="重訓紀錄" sheetId="3" state="visible" r:id="rId3"/>
    <sheet name="資金控制" sheetId="4" state="visible" r:id="rId4"/>
    <sheet name="每週檢討" sheetId="5" state="visible" r:id="rId5"/>
    <sheet name="規則與身份" sheetId="6" state="visible" r:id="rId6"/>
    <sheet name="飲食紀錄" sheetId="7" state="visible" r:id="rId7"/>
    <sheet name="營養設定" sheetId="8" state="visible" r:id="rId8"/>
    <sheet name="營養來源" sheetId="9" state="visible" r:id="rId9"/>
    <sheet name="有氧紀錄" sheetId="10" state="visible" r:id="rId10"/>
    <sheet name="動作基準" sheetId="11" state="visible" r:id="rId11"/>
  </sheets>
  <definedNames>
    <definedName name="_xlnm._FilterDatabase" localSheetId="9" hidden="1">'有氧紀錄'!$A$1:$H$1</definedName>
    <definedName name="_xlnm._FilterDatabase" localSheetId="10" hidden="1">'動作基準'!$A$1:$K$17</definedName>
  </definedName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"/>
  </numFmts>
  <fonts count="13">
    <font>
      <name val="Carlito"/>
      <sz val="11"/>
    </font>
    <font>
      <name val="Carlito"/>
      <b val="1"/>
      <color rgb="FFFFFFFF"/>
      <sz val="18"/>
    </font>
    <font>
      <name val="Carlito"/>
      <i val="1"/>
      <color rgb="FF17324D"/>
      <sz val="10"/>
    </font>
    <font>
      <name val="Carlito"/>
      <b val="1"/>
      <color rgb="FFFFFFFF"/>
      <sz val="11"/>
    </font>
    <font>
      <name val="Carlito"/>
      <b val="1"/>
      <color rgb="FF17324D"/>
      <sz val="11"/>
    </font>
    <font>
      <name val="Carlito"/>
      <color rgb="FF17324D"/>
      <sz val="11"/>
    </font>
    <font>
      <name val="Carlito"/>
      <b val="1"/>
      <color rgb="FF17324D"/>
      <sz val="18"/>
    </font>
    <font>
      <name val="Carlito"/>
      <i val="1"/>
      <color rgb="FF17324D"/>
      <sz val="11"/>
    </font>
    <font>
      <name val="Carlito"/>
      <b val="1"/>
      <color rgb="FF2E7D5B"/>
      <sz val="11"/>
    </font>
    <font>
      <name val="Carlito"/>
      <b val="1"/>
      <color rgb="FFB42318"/>
      <sz val="11"/>
    </font>
    <font>
      <name val="Carlito"/>
      <b val="1"/>
      <color rgb="FFFFFFFF"/>
      <sz val="16"/>
    </font>
    <font>
      <name val="Carlito"/>
      <color rgb="FF8A5A00"/>
      <sz val="11"/>
    </font>
    <font>
      <b val="1"/>
    </font>
  </fonts>
  <fills count="7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9F0F7"/>
      </patternFill>
    </fill>
    <fill>
      <patternFill patternType="solid">
        <fgColor rgb="FF176B67"/>
      </patternFill>
    </fill>
    <fill>
      <patternFill patternType="solid">
        <fgColor rgb="FFF2F4F7"/>
      </patternFill>
    </fill>
    <fill>
      <patternFill patternType="solid">
        <fgColor rgb="FFDDF2F0"/>
      </patternFill>
    </fill>
    <fill>
      <patternFill patternType="solid">
        <fgColor rgb="FFFFF0DC"/>
      </patternFill>
    </fill>
    <fill>
      <patternFill patternType="solid">
        <fgColor rgb="FFFDE8E7"/>
      </patternFill>
    </fill>
    <fill>
      <patternFill patternType="solid">
        <fgColor rgb="FF17324D"/>
      </patternFill>
    </fill>
    <fill>
      <patternFill patternType="solid">
        <fgColor rgb="FFE9F0F7"/>
      </patternFill>
    </fill>
    <fill>
      <patternFill patternType="solid">
        <fgColor rgb="FF176B67"/>
      </patternFill>
    </fill>
    <fill>
      <patternFill patternType="solid">
        <fgColor rgb="FFF2F4F7"/>
      </patternFill>
    </fill>
    <fill>
      <patternFill patternType="solid">
        <fgColor rgb="FFDDF2F0"/>
      </patternFill>
    </fill>
    <fill>
      <patternFill patternType="solid">
        <fgColor rgb="FF176B67"/>
      </patternFill>
    </fill>
    <fill>
      <patternFill patternType="solid">
        <fgColor rgb="FFF2F4F7"/>
      </patternFill>
    </fill>
    <fill>
      <patternFill patternType="solid">
        <fgColor rgb="FFE5F3EB"/>
      </patternFill>
    </fill>
    <fill>
      <patternFill patternType="solid">
        <fgColor rgb="FFFDE8E7"/>
      </patternFill>
    </fill>
    <fill>
      <patternFill patternType="solid">
        <fgColor rgb="FF176B67"/>
      </patternFill>
    </fill>
    <fill>
      <patternFill patternType="solid">
        <fgColor rgb="FF17324D"/>
      </patternFill>
    </fill>
    <fill>
      <patternFill patternType="solid">
        <fgColor rgb="FFEEF4FA"/>
      </patternFill>
    </fill>
    <fill>
      <patternFill patternType="solid">
        <fgColor rgb="FFF2F4F7"/>
      </patternFill>
    </fill>
    <fill>
      <patternFill patternType="solid">
        <fgColor rgb="FFDDF2F0"/>
      </patternFill>
    </fill>
    <fill>
      <patternFill patternType="solid">
        <fgColor rgb="FF176B67"/>
      </patternFill>
    </fill>
    <fill>
      <patternFill patternType="solid">
        <fgColor rgb="FFFFF4CC"/>
      </patternFill>
    </fill>
    <fill>
      <patternFill patternType="solid">
        <fgColor rgb="FFE5F3EB"/>
      </patternFill>
    </fill>
    <fill>
      <patternFill patternType="solid">
        <fgColor rgb="FF17324D"/>
      </patternFill>
    </fill>
    <fill>
      <patternFill patternType="solid">
        <fgColor rgb="FFEEF4FA"/>
      </patternFill>
    </fill>
    <fill>
      <patternFill patternType="solid">
        <fgColor rgb="FFF2F4F7"/>
      </patternFill>
    </fill>
    <fill>
      <patternFill patternType="solid">
        <fgColor rgb="FF176B67"/>
      </patternFill>
    </fill>
    <fill>
      <patternFill patternType="solid">
        <fgColor rgb="FFFFF4CC"/>
      </patternFill>
    </fill>
    <fill>
      <patternFill patternType="solid">
        <fgColor rgb="FFE5F3EB"/>
      </patternFill>
    </fill>
    <fill>
      <patternFill patternType="solid">
        <fgColor rgb="FF17324D"/>
      </patternFill>
    </fill>
    <fill>
      <patternFill patternType="solid">
        <fgColor rgb="FFEEF4FA"/>
      </patternFill>
    </fill>
    <fill>
      <patternFill patternType="solid">
        <fgColor rgb="FFF2F4F7"/>
      </patternFill>
    </fill>
    <fill>
      <patternFill patternType="solid">
        <fgColor rgb="FF176B67"/>
      </patternFill>
    </fill>
    <fill>
      <patternFill patternType="solid">
        <fgColor rgb="FFFFF4CC"/>
      </patternFill>
    </fill>
    <fill>
      <patternFill patternType="solid">
        <fgColor rgb="FFE5F3EB"/>
      </patternFill>
    </fill>
    <fill>
      <patternFill patternType="solid">
        <fgColor rgb="FFF2F4F7"/>
      </patternFill>
    </fill>
    <fill>
      <patternFill patternType="solid">
        <fgColor rgb="FF17324D"/>
      </patternFill>
    </fill>
    <fill>
      <patternFill patternType="solid">
        <fgColor rgb="FFEEF4FA"/>
      </patternFill>
    </fill>
    <fill>
      <patternFill patternType="solid">
        <fgColor rgb="FF176B67"/>
      </patternFill>
    </fill>
    <fill>
      <patternFill patternType="solid">
        <fgColor rgb="FFFFF4CC"/>
      </patternFill>
    </fill>
    <fill>
      <patternFill patternType="solid">
        <fgColor rgb="FFE5F3EB"/>
      </patternFill>
    </fill>
    <fill>
      <patternFill patternType="solid">
        <fgColor rgb="FFF2F4F7"/>
      </patternFill>
    </fill>
    <fill>
      <patternFill patternType="solid">
        <fgColor rgb="FF17324D"/>
      </patternFill>
    </fill>
    <fill>
      <patternFill patternType="solid">
        <fgColor rgb="FFEEF4FA"/>
      </patternFill>
    </fill>
    <fill>
      <patternFill patternType="solid">
        <fgColor rgb="FF176B67"/>
      </patternFill>
    </fill>
    <fill>
      <patternFill patternType="solid">
        <fgColor rgb="FFFFF4CC"/>
      </patternFill>
    </fill>
    <fill>
      <patternFill patternType="solid">
        <fgColor rgb="FFE5F3EB"/>
      </patternFill>
    </fill>
    <fill>
      <patternFill patternType="solid">
        <fgColor rgb="FFF2F4F7"/>
      </patternFill>
    </fill>
    <fill>
      <patternFill patternType="solid">
        <fgColor rgb="FF17324D"/>
      </patternFill>
    </fill>
    <fill>
      <patternFill patternType="solid">
        <fgColor rgb="FFEEF4FA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FF176B67"/>
      </patternFill>
    </fill>
    <fill>
      <patternFill patternType="solid">
        <fgColor rgb="FFFFF4CC"/>
      </patternFill>
    </fill>
    <fill>
      <patternFill patternType="solid">
        <fgColor rgb="FFE5F3EB"/>
      </patternFill>
    </fill>
    <fill>
      <patternFill patternType="solid">
        <fgColor rgb="FFF2F4F7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FFFFF4CC"/>
      </patternFill>
    </fill>
    <fill>
      <patternFill patternType="solid">
        <fgColor rgb="00D9EAF7"/>
      </patternFill>
    </fill>
  </fills>
  <borders count="16">
    <border/>
    <border>
      <left style="thin">
        <color rgb="FF176B67"/>
      </left>
      <top style="thin">
        <color rgb="FF176B67"/>
      </top>
      <bottom style="thin">
        <color rgb="FF176B67"/>
      </bottom>
    </border>
    <border>
      <top style="thin">
        <color rgb="FF176B67"/>
      </top>
      <bottom style="thin">
        <color rgb="FF176B67"/>
      </bottom>
    </border>
    <border>
      <right style="thin">
        <color rgb="FF176B67"/>
      </right>
      <top style="thin">
        <color rgb="FF176B67"/>
      </top>
      <bottom style="thin">
        <color rgb="FF176B67"/>
      </bottom>
    </border>
    <border>
      <bottom style="thin">
        <color rgb="FFD0D5DD"/>
      </bottom>
    </border>
    <border>
      <top style="thin">
        <color rgb="FFD0D5DD"/>
      </top>
      <bottom style="thin">
        <color rgb="FFD0D5DD"/>
      </bottom>
    </border>
    <border>
      <top style="thin">
        <color rgb="FFD0D5DD"/>
      </top>
    </border>
    <border>
      <left style="thin">
        <color rgb="FFD0D5DD"/>
      </left>
      <top style="thin">
        <color rgb="FFD0D5DD"/>
      </top>
      <bottom style="thin">
        <color rgb="FFD0D5DD"/>
      </bottom>
    </border>
    <border>
      <right style="thin">
        <color rgb="FFD0D5DD"/>
      </right>
      <top style="thin">
        <color rgb="FFD0D5DD"/>
      </top>
      <bottom style="thin">
        <color rgb="FFD0D5DD"/>
      </bottom>
    </border>
    <border>
      <right style="thin">
        <color rgb="FFD0D5DD"/>
      </right>
      <bottom style="thin">
        <color rgb="FFD0D5DD"/>
      </bottom>
    </border>
    <border>
      <left style="thin">
        <color rgb="FFD0D5DD"/>
      </left>
      <right style="thin">
        <color rgb="FFD0D5DD"/>
      </right>
      <bottom style="thin">
        <color rgb="FFD0D5DD"/>
      </bottom>
    </border>
    <border>
      <left style="thin">
        <color rgb="FFD0D5DD"/>
      </left>
      <bottom style="thin">
        <color rgb="FFD0D5DD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right style="thin">
        <color rgb="FFD0D5DD"/>
      </right>
      <top style="thin">
        <color rgb="FFD0D5DD"/>
      </top>
    </border>
    <border>
      <left style="thin">
        <color rgb="FFD0D5DD"/>
      </left>
      <right style="thin">
        <color rgb="FFD0D5DD"/>
      </right>
      <top style="thin">
        <color rgb="FFD0D5DD"/>
      </top>
    </border>
    <border>
      <left style="thin">
        <color rgb="FFD0D5DD"/>
      </left>
      <top style="thin">
        <color rgb="FFD0D5DD"/>
      </top>
    </border>
  </borders>
  <cellStyleXfs count="1">
    <xf numFmtId="0" fontId="0" fillId="0" borderId="0"/>
  </cellStyleXfs>
  <cellXfs count="45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3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4" pivotButton="0" quotePrefix="0" xfId="0"/>
    <xf numFmtId="0" fontId="0" fillId="0" borderId="4" pivotButton="0" quotePrefix="0" xfId="0"/>
    <xf numFmtId="164" fontId="0" fillId="0" borderId="5" pivotButton="0" quotePrefix="0" xfId="0"/>
    <xf numFmtId="0" fontId="0" fillId="0" borderId="5" pivotButton="0" quotePrefix="0" xfId="0"/>
    <xf numFmtId="164" fontId="0" fillId="0" borderId="6" pivotButton="0" quotePrefix="0" xfId="0"/>
    <xf numFmtId="0" fontId="0" fillId="0" borderId="6" pivotButton="0" quotePrefix="0" xfId="0"/>
    <xf numFmtId="164" fontId="0" fillId="5" borderId="4" pivotButton="0" quotePrefix="0" xfId="0"/>
    <xf numFmtId="164" fontId="0" fillId="5" borderId="5" pivotButton="0" quotePrefix="0" xfId="0"/>
    <xf numFmtId="164" fontId="0" fillId="5" borderId="6" pivotButton="0" quotePrefix="0" xfId="0"/>
    <xf numFmtId="164" fontId="0" fillId="5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5" borderId="5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164" fontId="0" fillId="5" borderId="6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4" fontId="0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5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5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1" fontId="0" fillId="0" borderId="0" pivotButton="0" quotePrefix="0" xfId="0"/>
    <xf numFmtId="165" fontId="0" fillId="0" borderId="0" pivotButton="0" quotePrefix="0" xfId="0"/>
    <xf numFmtId="1" fontId="0" fillId="0" borderId="4" pivotButton="0" quotePrefix="0" xfId="0"/>
    <xf numFmtId="165" fontId="0" fillId="0" borderId="4" pivotButton="0" quotePrefix="0" xfId="0"/>
    <xf numFmtId="1" fontId="0" fillId="0" borderId="5" pivotButton="0" quotePrefix="0" xfId="0"/>
    <xf numFmtId="165" fontId="0" fillId="0" borderId="5" pivotButton="0" quotePrefix="0" xfId="0"/>
    <xf numFmtId="1" fontId="0" fillId="0" borderId="6" pivotButton="0" quotePrefix="0" xfId="0"/>
    <xf numFmtId="165" fontId="0" fillId="0" borderId="6" pivotButton="0" quotePrefix="0" xfId="0"/>
    <xf numFmtId="165" fontId="0" fillId="6" borderId="4" pivotButton="0" quotePrefix="0" xfId="0"/>
    <xf numFmtId="165" fontId="0" fillId="6" borderId="5" pivotButton="0" quotePrefix="0" xfId="0"/>
    <xf numFmtId="165" fontId="0" fillId="6" borderId="6" pivotButton="0" quotePrefix="0" xfId="0"/>
    <xf numFmtId="1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6" borderId="4" applyAlignment="1" pivotButton="0" quotePrefix="0" xfId="0">
      <alignment vertical="center"/>
    </xf>
    <xf numFmtId="1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6" borderId="5" applyAlignment="1" pivotButton="0" quotePrefix="0" xfId="0">
      <alignment vertical="center"/>
    </xf>
    <xf numFmtId="1" fontId="0" fillId="0" borderId="6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6" borderId="6" applyAlignment="1" pivotButton="0" quotePrefix="0" xfId="0">
      <alignment vertical="center"/>
    </xf>
    <xf numFmtId="1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5" fontId="0" fillId="6" borderId="4" applyAlignment="1" pivotButton="0" quotePrefix="0" xfId="0">
      <alignment horizontal="center" vertical="center"/>
    </xf>
    <xf numFmtId="1" fontId="0" fillId="0" borderId="5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165" fontId="0" fillId="6" borderId="5" applyAlignment="1" pivotButton="0" quotePrefix="0" xfId="0">
      <alignment horizontal="center" vertical="center"/>
    </xf>
    <xf numFmtId="1" fontId="0" fillId="0" borderId="6" applyAlignment="1" pivotButton="0" quotePrefix="0" xfId="0">
      <alignment horizontal="center" vertical="center"/>
    </xf>
    <xf numFmtId="165" fontId="0" fillId="0" borderId="6" applyAlignment="1" pivotButton="0" quotePrefix="0" xfId="0">
      <alignment horizontal="center" vertical="center"/>
    </xf>
    <xf numFmtId="165" fontId="0" fillId="6" borderId="6" applyAlignment="1" pivotButton="0" quotePrefix="0" xfId="0">
      <alignment horizontal="center" vertical="center"/>
    </xf>
    <xf numFmtId="0" fontId="0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3" fontId="0" fillId="0" borderId="4" pivotButton="0" quotePrefix="0" xfId="0"/>
    <xf numFmtId="3" fontId="0" fillId="0" borderId="5" pivotButton="0" quotePrefix="0" xfId="0"/>
    <xf numFmtId="3" fontId="0" fillId="0" borderId="6" pivotButton="0" quotePrefix="0" xfId="0"/>
    <xf numFmtId="0" fontId="0" fillId="6" borderId="0" pivotButton="0" quotePrefix="0" xfId="0"/>
    <xf numFmtId="0" fontId="4" fillId="6" borderId="0" pivotButton="0" quotePrefix="0" xfId="0"/>
    <xf numFmtId="0" fontId="4" fillId="6" borderId="7" pivotButton="0" quotePrefix="0" xfId="0"/>
    <xf numFmtId="0" fontId="4" fillId="6" borderId="5" pivotButton="0" quotePrefix="0" xfId="0"/>
    <xf numFmtId="0" fontId="4" fillId="6" borderId="8" pivotButton="0" quotePrefix="0" xfId="0"/>
    <xf numFmtId="3" fontId="0" fillId="0" borderId="0" pivotButton="0" quotePrefix="0" xfId="0"/>
    <xf numFmtId="0" fontId="0" fillId="7" borderId="0" pivotButton="0" quotePrefix="0" xfId="0"/>
    <xf numFmtId="0" fontId="5" fillId="7" borderId="0" pivotButton="0" quotePrefix="0" xfId="0"/>
    <xf numFmtId="0" fontId="5" fillId="7" borderId="0" applyAlignment="1" pivotButton="0" quotePrefix="0" xfId="0">
      <alignment wrapText="1"/>
    </xf>
    <xf numFmtId="0" fontId="5" fillId="7" borderId="0" applyAlignment="1" pivotButton="0" quotePrefix="0" xfId="0">
      <alignment vertical="center" wrapText="1"/>
    </xf>
    <xf numFmtId="166" fontId="0" fillId="0" borderId="0" pivotButton="0" quotePrefix="0" xfId="0"/>
    <xf numFmtId="0" fontId="0" fillId="0" borderId="9" pivotButton="0" quotePrefix="0" xfId="0"/>
    <xf numFmtId="164" fontId="0" fillId="0" borderId="10" pivotButton="0" quotePrefix="0" xfId="0"/>
    <xf numFmtId="0" fontId="0" fillId="0" borderId="10" pivotButton="0" quotePrefix="0" xfId="0"/>
    <xf numFmtId="166" fontId="0" fillId="0" borderId="10" pivotButton="0" quotePrefix="0" xfId="0"/>
    <xf numFmtId="0" fontId="0" fillId="7" borderId="10" pivotButton="0" quotePrefix="0" xfId="0"/>
    <xf numFmtId="0" fontId="0" fillId="7" borderId="11" pivotButton="0" quotePrefix="0" xfId="0"/>
    <xf numFmtId="0" fontId="0" fillId="0" borderId="8" pivotButton="0" quotePrefix="0" xfId="0"/>
    <xf numFmtId="164" fontId="0" fillId="0" borderId="12" pivotButton="0" quotePrefix="0" xfId="0"/>
    <xf numFmtId="0" fontId="0" fillId="0" borderId="12" pivotButton="0" quotePrefix="0" xfId="0"/>
    <xf numFmtId="166" fontId="0" fillId="0" borderId="12" pivotButton="0" quotePrefix="0" xfId="0"/>
    <xf numFmtId="0" fontId="0" fillId="7" borderId="12" pivotButton="0" quotePrefix="0" xfId="0"/>
    <xf numFmtId="0" fontId="0" fillId="7" borderId="7" pivotButton="0" quotePrefix="0" xfId="0"/>
    <xf numFmtId="0" fontId="0" fillId="0" borderId="13" pivotButton="0" quotePrefix="0" xfId="0"/>
    <xf numFmtId="164" fontId="0" fillId="0" borderId="14" pivotButton="0" quotePrefix="0" xfId="0"/>
    <xf numFmtId="0" fontId="0" fillId="0" borderId="14" pivotButton="0" quotePrefix="0" xfId="0"/>
    <xf numFmtId="166" fontId="0" fillId="0" borderId="14" pivotButton="0" quotePrefix="0" xfId="0"/>
    <xf numFmtId="0" fontId="0" fillId="7" borderId="14" pivotButton="0" quotePrefix="0" xfId="0"/>
    <xf numFmtId="0" fontId="0" fillId="7" borderId="15" pivotButton="0" quotePrefix="0" xfId="0"/>
    <xf numFmtId="0" fontId="0" fillId="0" borderId="9" applyAlignment="1" pivotButton="0" quotePrefix="0" xfId="0">
      <alignment horizontal="center"/>
    </xf>
    <xf numFmtId="164" fontId="0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66" fontId="0" fillId="0" borderId="1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4" fontId="0" fillId="0" borderId="1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166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164" fontId="0" fillId="0" borderId="14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166" fontId="0" fillId="0" borderId="14" applyAlignment="1" pivotButton="0" quotePrefix="0" xfId="0">
      <alignment horizontal="center"/>
    </xf>
    <xf numFmtId="0" fontId="0" fillId="7" borderId="10" applyAlignment="1" pivotButton="0" quotePrefix="0" xfId="0">
      <alignment wrapText="1"/>
    </xf>
    <xf numFmtId="0" fontId="0" fillId="7" borderId="11" applyAlignment="1" pivotButton="0" quotePrefix="0" xfId="0">
      <alignment wrapText="1"/>
    </xf>
    <xf numFmtId="0" fontId="0" fillId="7" borderId="12" applyAlignment="1" pivotButton="0" quotePrefix="0" xfId="0">
      <alignment wrapText="1"/>
    </xf>
    <xf numFmtId="0" fontId="0" fillId="7" borderId="7" applyAlignment="1" pivotButton="0" quotePrefix="0" xfId="0">
      <alignment wrapText="1"/>
    </xf>
    <xf numFmtId="0" fontId="0" fillId="7" borderId="14" applyAlignment="1" pivotButton="0" quotePrefix="0" xfId="0">
      <alignment wrapText="1"/>
    </xf>
    <xf numFmtId="0" fontId="0" fillId="7" borderId="15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vertical="center" wrapText="1"/>
    </xf>
    <xf numFmtId="0" fontId="3" fillId="2" borderId="4" applyAlignment="1" pivotButton="0" quotePrefix="0" xfId="0">
      <alignment vertical="center"/>
    </xf>
    <xf numFmtId="0" fontId="0" fillId="3" borderId="4" applyAlignment="1" pivotButton="0" quotePrefix="0" xfId="0">
      <alignment vertical="center" wrapText="1"/>
    </xf>
    <xf numFmtId="0" fontId="3" fillId="2" borderId="5" applyAlignment="1" pivotButton="0" quotePrefix="0" xfId="0">
      <alignment vertical="center"/>
    </xf>
    <xf numFmtId="0" fontId="0" fillId="3" borderId="5" applyAlignment="1" pivotButton="0" quotePrefix="0" xfId="0">
      <alignment vertical="center" wrapText="1"/>
    </xf>
    <xf numFmtId="0" fontId="3" fillId="2" borderId="6" applyAlignment="1" pivotButton="0" quotePrefix="0" xfId="0">
      <alignment vertical="center"/>
    </xf>
    <xf numFmtId="0" fontId="0" fillId="3" borderId="6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7" borderId="4" pivotButton="0" quotePrefix="0" xfId="0"/>
    <xf numFmtId="0" fontId="0" fillId="7" borderId="5" pivotButton="0" quotePrefix="0" xfId="0"/>
    <xf numFmtId="0" fontId="0" fillId="7" borderId="6" pivotButton="0" quotePrefix="0" xfId="0"/>
    <xf numFmtId="0" fontId="0" fillId="7" borderId="4" applyAlignment="1" pivotButton="0" quotePrefix="0" xfId="0">
      <alignment wrapText="1"/>
    </xf>
    <xf numFmtId="0" fontId="0" fillId="7" borderId="5" applyAlignment="1" pivotButton="0" quotePrefix="0" xfId="0">
      <alignment wrapText="1"/>
    </xf>
    <xf numFmtId="0" fontId="0" fillId="7" borderId="6" applyAlignment="1" pivotButton="0" quotePrefix="0" xfId="0">
      <alignment wrapText="1"/>
    </xf>
    <xf numFmtId="0" fontId="0" fillId="7" borderId="4" applyAlignment="1" pivotButton="0" quotePrefix="0" xfId="0">
      <alignment vertical="center" wrapText="1"/>
    </xf>
    <xf numFmtId="0" fontId="0" fillId="7" borderId="5" applyAlignment="1" pivotButton="0" quotePrefix="0" xfId="0">
      <alignment vertical="center" wrapText="1"/>
    </xf>
    <xf numFmtId="0" fontId="0" fillId="7" borderId="6" applyAlignment="1" pivotButton="0" quotePrefix="0" xfId="0">
      <alignment vertical="center" wrapText="1"/>
    </xf>
    <xf numFmtId="0" fontId="0" fillId="8" borderId="0" pivotButton="0" quotePrefix="0" xfId="0"/>
    <xf numFmtId="0" fontId="0" fillId="8" borderId="4" pivotButton="0" quotePrefix="0" xfId="0"/>
    <xf numFmtId="0" fontId="0" fillId="8" borderId="5" pivotButton="0" quotePrefix="0" xfId="0"/>
    <xf numFmtId="0" fontId="0" fillId="8" borderId="6" pivotButton="0" quotePrefix="0" xfId="0"/>
    <xf numFmtId="0" fontId="0" fillId="8" borderId="4" applyAlignment="1" pivotButton="0" quotePrefix="0" xfId="0">
      <alignment wrapText="1"/>
    </xf>
    <xf numFmtId="0" fontId="0" fillId="8" borderId="5" applyAlignment="1" pivotButton="0" quotePrefix="0" xfId="0">
      <alignment wrapText="1"/>
    </xf>
    <xf numFmtId="0" fontId="0" fillId="8" borderId="6" applyAlignment="1" pivotButton="0" quotePrefix="0" xfId="0">
      <alignment wrapText="1"/>
    </xf>
    <xf numFmtId="0" fontId="0" fillId="8" borderId="4" applyAlignment="1" pivotButton="0" quotePrefix="0" xfId="0">
      <alignment vertical="center" wrapText="1"/>
    </xf>
    <xf numFmtId="0" fontId="0" fillId="8" borderId="5" applyAlignment="1" pivotButton="0" quotePrefix="0" xfId="0">
      <alignment vertical="center" wrapText="1"/>
    </xf>
    <xf numFmtId="0" fontId="0" fillId="8" borderId="6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6" fillId="6" borderId="0" pivotButton="0" quotePrefix="0" xfId="0"/>
    <xf numFmtId="0" fontId="6" fillId="6" borderId="12" pivotButton="0" quotePrefix="0" xfId="0"/>
    <xf numFmtId="0" fontId="6" fillId="6" borderId="12" applyAlignment="1" pivotButton="0" quotePrefix="0" xfId="0">
      <alignment horizontal="center"/>
    </xf>
    <xf numFmtId="0" fontId="6" fillId="6" borderId="12" applyAlignment="1" pivotButton="0" quotePrefix="0" xfId="0">
      <alignment horizontal="center" vertical="center"/>
    </xf>
    <xf numFmtId="9" fontId="6" fillId="6" borderId="12" applyAlignment="1" pivotButton="0" quotePrefix="0" xfId="0">
      <alignment horizontal="center" vertical="center"/>
    </xf>
    <xf numFmtId="166" fontId="6" fillId="6" borderId="12" applyAlignment="1" pivotButton="0" quotePrefix="0" xfId="0">
      <alignment horizontal="center" vertical="center"/>
    </xf>
    <xf numFmtId="165" fontId="6" fillId="6" borderId="12" applyAlignment="1" pivotButton="0" quotePrefix="0" xfId="0">
      <alignment horizontal="center" vertical="center"/>
    </xf>
    <xf numFmtId="3" fontId="6" fillId="6" borderId="1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3" fillId="4" borderId="9" applyAlignment="1" pivotButton="0" quotePrefix="0" xfId="0">
      <alignment horizontal="center"/>
    </xf>
    <xf numFmtId="0" fontId="3" fillId="4" borderId="10" applyAlignment="1" pivotButton="0" quotePrefix="0" xfId="0">
      <alignment horizontal="center"/>
    </xf>
    <xf numFmtId="0" fontId="3" fillId="4" borderId="11" applyAlignment="1" pivotButton="0" quotePrefix="0" xfId="0">
      <alignment horizontal="center"/>
    </xf>
    <xf numFmtId="0" fontId="0" fillId="0" borderId="7" pivotButton="0" quotePrefix="0" xfId="0"/>
    <xf numFmtId="0" fontId="0" fillId="0" borderId="15" pivotButton="0" quotePrefix="0" xfId="0"/>
    <xf numFmtId="0" fontId="0" fillId="0" borderId="7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vertical="center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vertical="center"/>
    </xf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0" fontId="3" fillId="11" borderId="0" applyAlignment="1" pivotButton="0" quotePrefix="0" xfId="0">
      <alignment horizontal="center" wrapText="1"/>
    </xf>
    <xf numFmtId="0" fontId="3" fillId="11" borderId="0" applyAlignment="1" pivotButton="0" quotePrefix="0" xfId="0">
      <alignment horizontal="center" vertical="center" wrapText="1"/>
    </xf>
    <xf numFmtId="0" fontId="0" fillId="12" borderId="4" pivotButton="0" quotePrefix="0" xfId="0"/>
    <xf numFmtId="0" fontId="0" fillId="12" borderId="5" pivotButton="0" quotePrefix="0" xfId="0"/>
    <xf numFmtId="0" fontId="0" fillId="12" borderId="6" pivotButton="0" quotePrefix="0" xfId="0"/>
    <xf numFmtId="164" fontId="0" fillId="12" borderId="4" pivotButton="0" quotePrefix="0" xfId="0"/>
    <xf numFmtId="164" fontId="0" fillId="12" borderId="5" pivotButton="0" quotePrefix="0" xfId="0"/>
    <xf numFmtId="164" fontId="0" fillId="12" borderId="6" pivotButton="0" quotePrefix="0" xfId="0"/>
    <xf numFmtId="164" fontId="0" fillId="12" borderId="4" applyAlignment="1" pivotButton="0" quotePrefix="0" xfId="0">
      <alignment vertical="center"/>
    </xf>
    <xf numFmtId="164" fontId="0" fillId="12" borderId="5" applyAlignment="1" pivotButton="0" quotePrefix="0" xfId="0">
      <alignment vertical="center"/>
    </xf>
    <xf numFmtId="164" fontId="0" fillId="12" borderId="6" applyAlignment="1" pivotButton="0" quotePrefix="0" xfId="0">
      <alignment vertical="center"/>
    </xf>
    <xf numFmtId="164" fontId="0" fillId="12" borderId="4" applyAlignment="1" pivotButton="0" quotePrefix="0" xfId="0">
      <alignment horizontal="center" vertical="center"/>
    </xf>
    <xf numFmtId="164" fontId="0" fillId="12" borderId="5" applyAlignment="1" pivotButton="0" quotePrefix="0" xfId="0">
      <alignment horizontal="center" vertical="center"/>
    </xf>
    <xf numFmtId="164" fontId="0" fillId="12" borderId="6" applyAlignment="1" pivotButton="0" quotePrefix="0" xfId="0">
      <alignment horizontal="center" vertical="center"/>
    </xf>
    <xf numFmtId="0" fontId="0" fillId="13" borderId="0" pivotButton="0" quotePrefix="0" xfId="0"/>
    <xf numFmtId="0" fontId="4" fillId="13" borderId="0" pivotButton="0" quotePrefix="0" xfId="0"/>
    <xf numFmtId="0" fontId="4" fillId="13" borderId="7" pivotButton="0" quotePrefix="0" xfId="0"/>
    <xf numFmtId="0" fontId="4" fillId="13" borderId="5" pivotButton="0" quotePrefix="0" xfId="0"/>
    <xf numFmtId="0" fontId="4" fillId="13" borderId="8" pivotButton="0" quotePrefix="0" xfId="0"/>
    <xf numFmtId="0" fontId="0" fillId="14" borderId="0" pivotButton="0" quotePrefix="0" xfId="0"/>
    <xf numFmtId="0" fontId="3" fillId="14" borderId="0" pivotButton="0" quotePrefix="0" xfId="0"/>
    <xf numFmtId="0" fontId="3" fillId="14" borderId="0" applyAlignment="1" pivotButton="0" quotePrefix="0" xfId="0">
      <alignment wrapText="1"/>
    </xf>
    <xf numFmtId="0" fontId="3" fillId="14" borderId="0" applyAlignment="1" pivotButton="0" quotePrefix="0" xfId="0">
      <alignment horizontal="center" wrapText="1"/>
    </xf>
    <xf numFmtId="0" fontId="3" fillId="14" borderId="0" applyAlignment="1" pivotButton="0" quotePrefix="0" xfId="0">
      <alignment horizontal="center" vertical="center" wrapText="1"/>
    </xf>
    <xf numFmtId="164" fontId="0" fillId="0" borderId="7" pivotButton="0" quotePrefix="0" xfId="0"/>
    <xf numFmtId="164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164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164" fontId="0" fillId="15" borderId="7" applyAlignment="1" pivotButton="0" quotePrefix="0" xfId="0">
      <alignment vertical="center" wrapText="1"/>
    </xf>
    <xf numFmtId="164" fontId="0" fillId="15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16" borderId="5" applyAlignment="1" pivotButton="0" quotePrefix="0" xfId="0">
      <alignment horizontal="center" vertical="center" wrapText="1"/>
    </xf>
    <xf numFmtId="0" fontId="8" fillId="16" borderId="5" applyAlignment="1" pivotButton="0" quotePrefix="0" xfId="0">
      <alignment horizontal="center" vertical="center" wrapText="1"/>
    </xf>
    <xf numFmtId="0" fontId="0" fillId="17" borderId="5" applyAlignment="1" pivotButton="0" quotePrefix="0" xfId="0">
      <alignment horizontal="center" vertical="center" wrapText="1"/>
    </xf>
    <xf numFmtId="0" fontId="9" fillId="17" borderId="5" applyAlignment="1" pivotButton="0" quotePrefix="0" xfId="0">
      <alignment horizontal="center" vertical="center" wrapText="1"/>
    </xf>
    <xf numFmtId="0" fontId="0" fillId="18" borderId="0" pivotButton="0" quotePrefix="0" xfId="0"/>
    <xf numFmtId="0" fontId="3" fillId="18" borderId="0" pivotButton="0" quotePrefix="0" xfId="0"/>
    <xf numFmtId="0" fontId="3" fillId="18" borderId="12" pivotButton="0" quotePrefix="0" xfId="0"/>
    <xf numFmtId="0" fontId="3" fillId="18" borderId="12" applyAlignment="1" pivotButton="0" quotePrefix="0" xfId="0">
      <alignment wrapText="1"/>
    </xf>
    <xf numFmtId="0" fontId="3" fillId="18" borderId="12" applyAlignment="1" pivotButton="0" quotePrefix="0" xfId="0">
      <alignment horizontal="center" wrapText="1"/>
    </xf>
    <xf numFmtId="0" fontId="3" fillId="18" borderId="12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right"/>
    </xf>
    <xf numFmtId="0" fontId="0" fillId="19" borderId="0" pivotButton="0" quotePrefix="0" xfId="0"/>
    <xf numFmtId="0" fontId="10" fillId="19" borderId="0" pivotButton="0" quotePrefix="0" xfId="0"/>
    <xf numFmtId="0" fontId="10" fillId="19" borderId="0" applyAlignment="1" pivotButton="0" quotePrefix="0" xfId="0">
      <alignment horizontal="left"/>
    </xf>
    <xf numFmtId="0" fontId="10" fillId="19" borderId="0" applyAlignment="1" pivotButton="0" quotePrefix="0" xfId="0">
      <alignment horizontal="left" vertical="center"/>
    </xf>
    <xf numFmtId="0" fontId="0" fillId="20" borderId="0" pivotButton="0" quotePrefix="0" xfId="0"/>
    <xf numFmtId="0" fontId="7" fillId="20" borderId="0" pivotButton="0" quotePrefix="0" xfId="0"/>
    <xf numFmtId="0" fontId="7" fillId="20" borderId="0" applyAlignment="1" pivotButton="0" quotePrefix="0" xfId="0">
      <alignment wrapText="1"/>
    </xf>
    <xf numFmtId="0" fontId="3" fillId="18" borderId="0" applyAlignment="1" pivotButton="0" quotePrefix="0" xfId="0">
      <alignment horizontal="center"/>
    </xf>
    <xf numFmtId="0" fontId="3" fillId="18" borderId="0" applyAlignment="1" pivotButton="0" quotePrefix="0" xfId="0">
      <alignment horizontal="center" vertical="center"/>
    </xf>
    <xf numFmtId="0" fontId="3" fillId="18" borderId="12" applyAlignment="1" pivotButton="0" quotePrefix="0" xfId="0">
      <alignment horizontal="center" vertical="center"/>
    </xf>
    <xf numFmtId="0" fontId="0" fillId="21" borderId="12" pivotButton="0" quotePrefix="0" xfId="0"/>
    <xf numFmtId="1" fontId="0" fillId="0" borderId="12" pivotButton="0" quotePrefix="0" xfId="0"/>
    <xf numFmtId="1" fontId="0" fillId="0" borderId="12" applyAlignment="1" pivotButton="0" quotePrefix="0" xfId="0">
      <alignment horizontal="right"/>
    </xf>
    <xf numFmtId="0" fontId="0" fillId="22" borderId="0" pivotButton="0" quotePrefix="0" xfId="0"/>
    <xf numFmtId="0" fontId="4" fillId="22" borderId="0" pivotButton="0" quotePrefix="0" xfId="0"/>
    <xf numFmtId="0" fontId="0" fillId="23" borderId="0" pivotButton="0" quotePrefix="0" xfId="0"/>
    <xf numFmtId="0" fontId="3" fillId="23" borderId="0" pivotButton="0" quotePrefix="0" xfId="0"/>
    <xf numFmtId="0" fontId="3" fillId="23" borderId="12" pivotButton="0" quotePrefix="0" xfId="0"/>
    <xf numFmtId="0" fontId="3" fillId="23" borderId="12" applyAlignment="1" pivotButton="0" quotePrefix="0" xfId="0">
      <alignment wrapText="1"/>
    </xf>
    <xf numFmtId="0" fontId="3" fillId="23" borderId="12" applyAlignment="1" pivotButton="0" quotePrefix="0" xfId="0">
      <alignment horizontal="center" wrapText="1"/>
    </xf>
    <xf numFmtId="0" fontId="3" fillId="23" borderId="12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right"/>
    </xf>
    <xf numFmtId="0" fontId="0" fillId="24" borderId="4" applyAlignment="1" pivotButton="0" quotePrefix="0" xfId="0">
      <alignment vertical="center" wrapText="1"/>
    </xf>
    <xf numFmtId="0" fontId="11" fillId="24" borderId="4" applyAlignment="1" pivotButton="0" quotePrefix="0" xfId="0">
      <alignment vertical="center" wrapText="1"/>
    </xf>
    <xf numFmtId="1" fontId="0" fillId="24" borderId="0" applyAlignment="1" pivotButton="0" quotePrefix="0" xfId="0">
      <alignment horizontal="right"/>
    </xf>
    <xf numFmtId="1" fontId="11" fillId="24" borderId="0" applyAlignment="1" pivotButton="0" quotePrefix="0" xfId="0">
      <alignment horizontal="right"/>
    </xf>
    <xf numFmtId="166" fontId="11" fillId="24" borderId="0" applyAlignment="1" pivotButton="0" quotePrefix="0" xfId="0">
      <alignment horizontal="right"/>
    </xf>
    <xf numFmtId="0" fontId="0" fillId="24" borderId="5" applyAlignment="1" pivotButton="0" quotePrefix="0" xfId="0">
      <alignment vertical="center" wrapText="1"/>
    </xf>
    <xf numFmtId="0" fontId="11" fillId="24" borderId="5" applyAlignment="1" pivotButton="0" quotePrefix="0" xfId="0">
      <alignment vertical="center" wrapText="1"/>
    </xf>
    <xf numFmtId="1" fontId="0" fillId="25" borderId="0" applyAlignment="1" pivotButton="0" quotePrefix="0" xfId="0">
      <alignment horizontal="right"/>
    </xf>
    <xf numFmtId="166" fontId="0" fillId="25" borderId="0" applyAlignment="1" pivotButton="0" quotePrefix="0" xfId="0">
      <alignment horizontal="right"/>
    </xf>
    <xf numFmtId="0" fontId="0" fillId="26" borderId="0" pivotButton="0" quotePrefix="0" xfId="0"/>
    <xf numFmtId="0" fontId="10" fillId="26" borderId="0" pivotButton="0" quotePrefix="0" xfId="0"/>
    <xf numFmtId="0" fontId="10" fillId="26" borderId="0" applyAlignment="1" pivotButton="0" quotePrefix="0" xfId="0">
      <alignment vertical="center"/>
    </xf>
    <xf numFmtId="0" fontId="0" fillId="27" borderId="0" pivotButton="0" quotePrefix="0" xfId="0"/>
    <xf numFmtId="0" fontId="7" fillId="27" borderId="0" pivotButton="0" quotePrefix="0" xfId="0"/>
    <xf numFmtId="0" fontId="3" fillId="23" borderId="0" applyAlignment="1" pivotButton="0" quotePrefix="0" xfId="0">
      <alignment horizontal="center"/>
    </xf>
    <xf numFmtId="0" fontId="3" fillId="23" borderId="12" applyAlignment="1" pivotButton="0" quotePrefix="0" xfId="0">
      <alignment horizontal="center"/>
    </xf>
    <xf numFmtId="0" fontId="0" fillId="28" borderId="12" pivotButton="0" quotePrefix="0" xfId="0"/>
    <xf numFmtId="0" fontId="0" fillId="0" borderId="12" applyAlignment="1" pivotButton="0" quotePrefix="0" xfId="0">
      <alignment wrapText="1"/>
    </xf>
    <xf numFmtId="0" fontId="3" fillId="29" borderId="12" applyAlignment="1" pivotButton="0" quotePrefix="0" xfId="0">
      <alignment horizontal="center" vertical="center" wrapText="1"/>
    </xf>
    <xf numFmtId="1" fontId="0" fillId="16" borderId="0" applyAlignment="1" pivotButton="0" quotePrefix="0" xfId="0">
      <alignment horizontal="right"/>
    </xf>
    <xf numFmtId="166" fontId="0" fillId="16" borderId="0" applyAlignment="1" pivotButton="0" quotePrefix="0" xfId="0">
      <alignment horizontal="right"/>
    </xf>
    <xf numFmtId="0" fontId="11" fillId="30" borderId="4" applyAlignment="1" pivotButton="0" quotePrefix="0" xfId="0">
      <alignment vertical="center" wrapText="1"/>
    </xf>
    <xf numFmtId="166" fontId="11" fillId="30" borderId="0" applyAlignment="1" pivotButton="0" quotePrefix="0" xfId="0">
      <alignment horizontal="right"/>
    </xf>
    <xf numFmtId="1" fontId="11" fillId="30" borderId="0" applyAlignment="1" pivotButton="0" quotePrefix="0" xfId="0">
      <alignment horizontal="right"/>
    </xf>
    <xf numFmtId="0" fontId="11" fillId="30" borderId="5" applyAlignment="1" pivotButton="0" quotePrefix="0" xfId="0">
      <alignment vertical="center" wrapText="1"/>
    </xf>
    <xf numFmtId="1" fontId="0" fillId="31" borderId="0" applyAlignment="1" pivotButton="0" quotePrefix="0" xfId="0">
      <alignment horizontal="right"/>
    </xf>
    <xf numFmtId="166" fontId="0" fillId="31" borderId="0" applyAlignment="1" pivotButton="0" quotePrefix="0" xfId="0">
      <alignment horizontal="right"/>
    </xf>
    <xf numFmtId="0" fontId="10" fillId="32" borderId="0" applyAlignment="1" pivotButton="0" quotePrefix="0" xfId="0">
      <alignment vertical="center"/>
    </xf>
    <xf numFmtId="0" fontId="7" fillId="33" borderId="0" pivotButton="0" quotePrefix="0" xfId="0"/>
    <xf numFmtId="0" fontId="3" fillId="29" borderId="12" applyAlignment="1" pivotButton="0" quotePrefix="0" xfId="0">
      <alignment horizontal="center"/>
    </xf>
    <xf numFmtId="0" fontId="0" fillId="5" borderId="12" pivotButton="0" quotePrefix="0" xfId="0"/>
    <xf numFmtId="0" fontId="0" fillId="34" borderId="12" pivotButton="0" quotePrefix="0" xfId="0"/>
    <xf numFmtId="0" fontId="3" fillId="35" borderId="0" applyAlignment="1" pivotButton="0" quotePrefix="0" xfId="0">
      <alignment horizontal="center" vertical="center" wrapText="1"/>
    </xf>
    <xf numFmtId="0" fontId="3" fillId="35" borderId="7" applyAlignment="1" pivotButton="0" quotePrefix="0" xfId="0">
      <alignment horizontal="center" vertical="center" wrapText="1"/>
    </xf>
    <xf numFmtId="0" fontId="3" fillId="35" borderId="5" applyAlignment="1" pivotButton="0" quotePrefix="0" xfId="0">
      <alignment horizontal="center" vertical="center" wrapText="1"/>
    </xf>
    <xf numFmtId="0" fontId="3" fillId="35" borderId="8" applyAlignment="1" pivotButton="0" quotePrefix="0" xfId="0">
      <alignment horizontal="center" vertical="center" wrapText="1"/>
    </xf>
    <xf numFmtId="166" fontId="0" fillId="0" borderId="4" applyAlignment="1" pivotButton="0" quotePrefix="0" xfId="0">
      <alignment vertical="center" wrapText="1"/>
    </xf>
    <xf numFmtId="166" fontId="0" fillId="0" borderId="5" applyAlignment="1" pivotButton="0" quotePrefix="0" xfId="0">
      <alignment vertical="center" wrapText="1"/>
    </xf>
    <xf numFmtId="166" fontId="0" fillId="0" borderId="4" applyAlignment="1" pivotButton="0" quotePrefix="0" xfId="0">
      <alignment horizontal="right" vertical="center" wrapText="1"/>
    </xf>
    <xf numFmtId="166" fontId="0" fillId="0" borderId="5" applyAlignment="1" pivotButton="0" quotePrefix="0" xfId="0">
      <alignment horizontal="right" vertical="center" wrapText="1"/>
    </xf>
    <xf numFmtId="0" fontId="11" fillId="36" borderId="4" applyAlignment="1" pivotButton="0" quotePrefix="0" xfId="0">
      <alignment vertical="center" wrapText="1"/>
    </xf>
    <xf numFmtId="166" fontId="0" fillId="36" borderId="4" applyAlignment="1" pivotButton="0" quotePrefix="0" xfId="0">
      <alignment horizontal="right" vertical="center" wrapText="1"/>
    </xf>
    <xf numFmtId="166" fontId="11" fillId="36" borderId="4" applyAlignment="1" pivotButton="0" quotePrefix="0" xfId="0">
      <alignment horizontal="right" vertical="center" wrapText="1"/>
    </xf>
    <xf numFmtId="0" fontId="11" fillId="36" borderId="5" applyAlignment="1" pivotButton="0" quotePrefix="0" xfId="0">
      <alignment vertical="center" wrapText="1"/>
    </xf>
    <xf numFmtId="166" fontId="0" fillId="36" borderId="5" applyAlignment="1" pivotButton="0" quotePrefix="0" xfId="0">
      <alignment horizontal="right" vertical="center" wrapText="1"/>
    </xf>
    <xf numFmtId="166" fontId="11" fillId="36" borderId="5" applyAlignment="1" pivotButton="0" quotePrefix="0" xfId="0">
      <alignment horizontal="right" vertical="center" wrapText="1"/>
    </xf>
    <xf numFmtId="0" fontId="0" fillId="36" borderId="5" applyAlignment="1" pivotButton="0" quotePrefix="0" xfId="0">
      <alignment vertical="center" wrapText="1"/>
    </xf>
    <xf numFmtId="166" fontId="0" fillId="37" borderId="5" applyAlignment="1" pivotButton="0" quotePrefix="0" xfId="0">
      <alignment horizontal="right" vertical="center" wrapText="1"/>
    </xf>
    <xf numFmtId="166" fontId="0" fillId="38" borderId="5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center" vertical="center"/>
    </xf>
    <xf numFmtId="0" fontId="10" fillId="39" borderId="0" applyAlignment="1" pivotButton="0" quotePrefix="0" xfId="0">
      <alignment horizontal="left" vertical="center"/>
    </xf>
    <xf numFmtId="0" fontId="0" fillId="39" borderId="0" pivotButton="0" quotePrefix="0" xfId="0"/>
    <xf numFmtId="0" fontId="10" fillId="39" borderId="0" pivotButton="0" quotePrefix="0" xfId="0"/>
    <xf numFmtId="0" fontId="10" fillId="39" borderId="0" applyAlignment="1" pivotButton="0" quotePrefix="0" xfId="0">
      <alignment vertical="center"/>
    </xf>
    <xf numFmtId="0" fontId="7" fillId="40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3" fillId="35" borderId="12" applyAlignment="1" pivotButton="0" quotePrefix="0" xfId="0">
      <alignment horizontal="center" vertical="center"/>
    </xf>
    <xf numFmtId="0" fontId="0" fillId="35" borderId="0" pivotButton="0" quotePrefix="0" xfId="0"/>
    <xf numFmtId="0" fontId="3" fillId="35" borderId="0" pivotButton="0" quotePrefix="0" xfId="0"/>
    <xf numFmtId="0" fontId="3" fillId="35" borderId="0" applyAlignment="1" pivotButton="0" quotePrefix="0" xfId="0">
      <alignment horizontal="center"/>
    </xf>
    <xf numFmtId="0" fontId="3" fillId="35" borderId="0" applyAlignment="1" pivotButton="0" quotePrefix="0" xfId="0">
      <alignment horizontal="center" vertical="center"/>
    </xf>
    <xf numFmtId="0" fontId="0" fillId="38" borderId="12" pivotButton="0" quotePrefix="0" xfId="0"/>
    <xf numFmtId="0" fontId="3" fillId="41" borderId="7" applyAlignment="1" pivotButton="0" quotePrefix="0" xfId="0">
      <alignment horizontal="center" vertical="center" wrapText="1"/>
    </xf>
    <xf numFmtId="0" fontId="3" fillId="41" borderId="5" applyAlignment="1" pivotButton="0" quotePrefix="0" xfId="0">
      <alignment horizontal="center" vertical="center" wrapText="1"/>
    </xf>
    <xf numFmtId="0" fontId="3" fillId="41" borderId="8" applyAlignment="1" pivotButton="0" quotePrefix="0" xfId="0">
      <alignment horizontal="center" vertical="center" wrapText="1"/>
    </xf>
    <xf numFmtId="166" fontId="11" fillId="24" borderId="4" applyAlignment="1" pivotButton="0" quotePrefix="0" xfId="0">
      <alignment horizontal="right" vertical="center" wrapText="1"/>
    </xf>
    <xf numFmtId="166" fontId="0" fillId="5" borderId="5" applyAlignment="1" pivotButton="0" quotePrefix="0" xfId="0">
      <alignment horizontal="right" vertical="center" wrapText="1"/>
    </xf>
    <xf numFmtId="166" fontId="11" fillId="24" borderId="5" applyAlignment="1" pivotButton="0" quotePrefix="0" xfId="0">
      <alignment horizontal="right" vertical="center" wrapText="1"/>
    </xf>
    <xf numFmtId="166" fontId="0" fillId="16" borderId="5" applyAlignment="1" pivotButton="0" quotePrefix="0" xfId="0">
      <alignment horizontal="right" vertical="center" wrapText="1"/>
    </xf>
    <xf numFmtId="0" fontId="11" fillId="42" borderId="4" applyAlignment="1" pivotButton="0" quotePrefix="0" xfId="0">
      <alignment vertical="center" wrapText="1"/>
    </xf>
    <xf numFmtId="166" fontId="11" fillId="42" borderId="4" applyAlignment="1" pivotButton="0" quotePrefix="0" xfId="0">
      <alignment horizontal="right" vertical="center" wrapText="1"/>
    </xf>
    <xf numFmtId="0" fontId="11" fillId="42" borderId="5" applyAlignment="1" pivotButton="0" quotePrefix="0" xfId="0">
      <alignment vertical="center" wrapText="1"/>
    </xf>
    <xf numFmtId="166" fontId="11" fillId="42" borderId="5" applyAlignment="1" pivotButton="0" quotePrefix="0" xfId="0">
      <alignment horizontal="right" vertical="center" wrapText="1"/>
    </xf>
    <xf numFmtId="166" fontId="0" fillId="43" borderId="5" applyAlignment="1" pivotButton="0" quotePrefix="0" xfId="0">
      <alignment horizontal="right" vertical="center" wrapText="1"/>
    </xf>
    <xf numFmtId="166" fontId="0" fillId="44" borderId="5" applyAlignment="1" pivotButton="0" quotePrefix="0" xfId="0">
      <alignment horizontal="right" vertical="center" wrapText="1"/>
    </xf>
    <xf numFmtId="0" fontId="10" fillId="45" borderId="0" applyAlignment="1" pivotButton="0" quotePrefix="0" xfId="0">
      <alignment horizontal="left" vertical="center"/>
    </xf>
    <xf numFmtId="0" fontId="10" fillId="45" borderId="0" applyAlignment="1" pivotButton="0" quotePrefix="0" xfId="0">
      <alignment vertical="center"/>
    </xf>
    <xf numFmtId="0" fontId="7" fillId="46" borderId="0" applyAlignment="1" pivotButton="0" quotePrefix="0" xfId="0">
      <alignment wrapText="1"/>
    </xf>
    <xf numFmtId="0" fontId="3" fillId="41" borderId="12" applyAlignment="1" pivotButton="0" quotePrefix="0" xfId="0">
      <alignment horizontal="center" vertical="center"/>
    </xf>
    <xf numFmtId="0" fontId="0" fillId="44" borderId="12" pivotButton="0" quotePrefix="0" xfId="0"/>
    <xf numFmtId="0" fontId="3" fillId="47" borderId="7" applyAlignment="1" pivotButton="0" quotePrefix="0" xfId="0">
      <alignment horizontal="center" vertical="center" wrapText="1"/>
    </xf>
    <xf numFmtId="0" fontId="3" fillId="47" borderId="5" applyAlignment="1" pivotButton="0" quotePrefix="0" xfId="0">
      <alignment horizontal="center" vertical="center" wrapText="1"/>
    </xf>
    <xf numFmtId="0" fontId="3" fillId="47" borderId="8" applyAlignment="1" pivotButton="0" quotePrefix="0" xfId="0">
      <alignment horizontal="center" vertical="center" wrapText="1"/>
    </xf>
    <xf numFmtId="0" fontId="11" fillId="48" borderId="4" applyAlignment="1" pivotButton="0" quotePrefix="0" xfId="0">
      <alignment vertical="center" wrapText="1"/>
    </xf>
    <xf numFmtId="166" fontId="11" fillId="48" borderId="4" applyAlignment="1" pivotButton="0" quotePrefix="0" xfId="0">
      <alignment horizontal="right" vertical="center" wrapText="1"/>
    </xf>
    <xf numFmtId="0" fontId="11" fillId="48" borderId="5" applyAlignment="1" pivotButton="0" quotePrefix="0" xfId="0">
      <alignment vertical="center" wrapText="1"/>
    </xf>
    <xf numFmtId="166" fontId="11" fillId="48" borderId="5" applyAlignment="1" pivotButton="0" quotePrefix="0" xfId="0">
      <alignment horizontal="right" vertical="center" wrapText="1"/>
    </xf>
    <xf numFmtId="166" fontId="0" fillId="49" borderId="5" applyAlignment="1" pivotButton="0" quotePrefix="0" xfId="0">
      <alignment horizontal="right" vertical="center" wrapText="1"/>
    </xf>
    <xf numFmtId="166" fontId="0" fillId="50" borderId="5" applyAlignment="1" pivotButton="0" quotePrefix="0" xfId="0">
      <alignment horizontal="right" vertical="center" wrapText="1"/>
    </xf>
    <xf numFmtId="0" fontId="10" fillId="51" borderId="0" applyAlignment="1" pivotButton="0" quotePrefix="0" xfId="0">
      <alignment horizontal="left" vertical="center"/>
    </xf>
    <xf numFmtId="0" fontId="10" fillId="51" borderId="0" applyAlignment="1" pivotButton="0" quotePrefix="0" xfId="0">
      <alignment vertical="center"/>
    </xf>
    <xf numFmtId="0" fontId="7" fillId="52" borderId="0" applyAlignment="1" pivotButton="0" quotePrefix="0" xfId="0">
      <alignment wrapText="1"/>
    </xf>
    <xf numFmtId="0" fontId="3" fillId="47" borderId="12" applyAlignment="1" pivotButton="0" quotePrefix="0" xfId="0">
      <alignment horizontal="center" vertical="center"/>
    </xf>
    <xf numFmtId="0" fontId="0" fillId="50" borderId="12" pivotButton="0" quotePrefix="0" xfId="0"/>
    <xf numFmtId="0" fontId="0" fillId="53" borderId="5" applyAlignment="1" pivotButton="0" quotePrefix="0" xfId="0">
      <alignment vertical="center" wrapText="1"/>
    </xf>
    <xf numFmtId="0" fontId="11" fillId="53" borderId="5" applyAlignment="1" pivotButton="0" quotePrefix="0" xfId="0">
      <alignment vertical="center" wrapText="1"/>
    </xf>
    <xf numFmtId="166" fontId="11" fillId="53" borderId="5" applyAlignment="1" pivotButton="0" quotePrefix="0" xfId="0">
      <alignment vertical="center" wrapText="1"/>
    </xf>
    <xf numFmtId="166" fontId="11" fillId="53" borderId="5" applyAlignment="1" pivotButton="0" quotePrefix="0" xfId="0">
      <alignment horizontal="right" vertical="center" wrapText="1"/>
    </xf>
    <xf numFmtId="0" fontId="0" fillId="54" borderId="5" applyAlignment="1" pivotButton="0" quotePrefix="0" xfId="0">
      <alignment vertical="center" wrapText="1"/>
    </xf>
    <xf numFmtId="0" fontId="11" fillId="54" borderId="5" applyAlignment="1" pivotButton="0" quotePrefix="0" xfId="0">
      <alignment vertical="center" wrapText="1"/>
    </xf>
    <xf numFmtId="166" fontId="11" fillId="54" borderId="5" applyAlignment="1" pivotButton="0" quotePrefix="0" xfId="0">
      <alignment vertical="center" wrapText="1"/>
    </xf>
    <xf numFmtId="166" fontId="11" fillId="54" borderId="5" applyAlignment="1" pivotButton="0" quotePrefix="0" xfId="0">
      <alignment horizontal="right" vertical="center" wrapText="1"/>
    </xf>
    <xf numFmtId="0" fontId="11" fillId="55" borderId="5" applyAlignment="1" pivotButton="0" quotePrefix="0" xfId="0">
      <alignment vertical="center" wrapText="1"/>
    </xf>
    <xf numFmtId="166" fontId="11" fillId="55" borderId="5" applyAlignment="1" pivotButton="0" quotePrefix="0" xfId="0">
      <alignment horizontal="right" vertical="center" wrapText="1"/>
    </xf>
    <xf numFmtId="0" fontId="3" fillId="56" borderId="5" applyAlignment="1" pivotButton="0" quotePrefix="0" xfId="0">
      <alignment horizontal="center" vertical="center" wrapText="1"/>
    </xf>
    <xf numFmtId="0" fontId="3" fillId="56" borderId="8" applyAlignment="1" pivotButton="0" quotePrefix="0" xfId="0">
      <alignment horizontal="center" vertical="center" wrapText="1"/>
    </xf>
    <xf numFmtId="0" fontId="3" fillId="56" borderId="7" applyAlignment="1" pivotButton="0" quotePrefix="0" xfId="0">
      <alignment horizontal="center" vertical="center" wrapText="1"/>
    </xf>
    <xf numFmtId="0" fontId="11" fillId="57" borderId="4" applyAlignment="1" pivotButton="0" quotePrefix="0" xfId="0">
      <alignment vertical="center" wrapText="1"/>
    </xf>
    <xf numFmtId="166" fontId="0" fillId="57" borderId="4" applyAlignment="1" pivotButton="0" quotePrefix="0" xfId="0">
      <alignment horizontal="right" vertical="center" wrapText="1"/>
    </xf>
    <xf numFmtId="166" fontId="11" fillId="57" borderId="4" applyAlignment="1" pivotButton="0" quotePrefix="0" xfId="0">
      <alignment horizontal="right" vertical="center" wrapText="1"/>
    </xf>
    <xf numFmtId="0" fontId="11" fillId="57" borderId="5" applyAlignment="1" pivotButton="0" quotePrefix="0" xfId="0">
      <alignment vertical="center" wrapText="1"/>
    </xf>
    <xf numFmtId="166" fontId="0" fillId="57" borderId="5" applyAlignment="1" pivotButton="0" quotePrefix="0" xfId="0">
      <alignment horizontal="right" vertical="center" wrapText="1"/>
    </xf>
    <xf numFmtId="166" fontId="11" fillId="57" borderId="5" applyAlignment="1" pivotButton="0" quotePrefix="0" xfId="0">
      <alignment horizontal="right" vertical="center" wrapText="1"/>
    </xf>
    <xf numFmtId="166" fontId="0" fillId="58" borderId="5" applyAlignment="1" pivotButton="0" quotePrefix="0" xfId="0">
      <alignment horizontal="right" vertical="center" wrapText="1"/>
    </xf>
    <xf numFmtId="166" fontId="0" fillId="59" borderId="5" applyAlignment="1" pivotButton="0" quotePrefix="0" xfId="0">
      <alignment horizontal="right" vertical="center" wrapText="1"/>
    </xf>
    <xf numFmtId="0" fontId="0" fillId="60" borderId="5" applyAlignment="1" pivotButton="0" quotePrefix="0" xfId="0">
      <alignment vertical="center" wrapText="1"/>
    </xf>
    <xf numFmtId="0" fontId="11" fillId="60" borderId="5" applyAlignment="1" pivotButton="0" quotePrefix="0" xfId="0">
      <alignment vertical="center" wrapText="1"/>
    </xf>
    <xf numFmtId="166" fontId="0" fillId="60" borderId="5" applyAlignment="1" pivotButton="0" quotePrefix="0" xfId="0">
      <alignment horizontal="right" vertical="center" wrapText="1"/>
    </xf>
    <xf numFmtId="166" fontId="11" fillId="60" borderId="5" applyAlignment="1" pivotButton="0" quotePrefix="0" xfId="0">
      <alignment horizontal="right" vertical="center" wrapText="1"/>
    </xf>
    <xf numFmtId="0" fontId="11" fillId="61" borderId="5" applyAlignment="1" pivotButton="0" quotePrefix="0" xfId="0">
      <alignment vertical="center" wrapText="1"/>
    </xf>
    <xf numFmtId="166" fontId="11" fillId="61" borderId="5" applyAlignment="1" pivotButton="0" quotePrefix="0" xfId="0">
      <alignment horizontal="right" vertical="center" wrapText="1"/>
    </xf>
    <xf numFmtId="0" fontId="11" fillId="62" borderId="5" applyAlignment="1" pivotButton="0" quotePrefix="0" xfId="0">
      <alignment vertical="center" wrapText="1"/>
    </xf>
    <xf numFmtId="166" fontId="11" fillId="62" borderId="5" applyAlignment="1" pivotButton="0" quotePrefix="0" xfId="0">
      <alignment horizontal="right" vertical="center" wrapText="1"/>
    </xf>
    <xf numFmtId="0" fontId="11" fillId="63" borderId="5" applyAlignment="1" pivotButton="0" quotePrefix="0" xfId="0">
      <alignment vertical="center" wrapText="1"/>
    </xf>
    <xf numFmtId="166" fontId="11" fillId="63" borderId="5" applyAlignment="1" pivotButton="0" quotePrefix="0" xfId="0">
      <alignment horizontal="right" vertical="center" wrapText="1"/>
    </xf>
    <xf numFmtId="0" fontId="11" fillId="64" borderId="5" applyAlignment="1" pivotButton="0" quotePrefix="0" xfId="0">
      <alignment vertical="center" wrapText="1"/>
    </xf>
    <xf numFmtId="166" fontId="11" fillId="64" borderId="5" applyAlignment="1" pivotButton="0" quotePrefix="0" xfId="0">
      <alignment horizontal="right" vertical="center" wrapText="1"/>
    </xf>
    <xf numFmtId="166" fontId="11" fillId="24" borderId="4" applyAlignment="1" pivotButton="0" quotePrefix="0" xfId="0">
      <alignment horizontal="left" vertical="center" wrapText="1"/>
    </xf>
    <xf numFmtId="166" fontId="0" fillId="5" borderId="5" applyAlignment="1" pivotButton="0" quotePrefix="0" xfId="0">
      <alignment horizontal="left" vertical="center" wrapText="1"/>
    </xf>
    <xf numFmtId="166" fontId="11" fillId="24" borderId="5" applyAlignment="1" pivotButton="0" quotePrefix="0" xfId="0">
      <alignment horizontal="left" vertical="center" wrapText="1"/>
    </xf>
    <xf numFmtId="166" fontId="0" fillId="16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65" borderId="5" applyAlignment="1" pivotButton="0" quotePrefix="0" xfId="0">
      <alignment vertical="center" wrapText="1"/>
    </xf>
    <xf numFmtId="0" fontId="11" fillId="65" borderId="5" applyAlignment="1" pivotButton="0" quotePrefix="0" xfId="0">
      <alignment vertical="center" wrapText="1"/>
    </xf>
    <xf numFmtId="166" fontId="0" fillId="65" borderId="5" applyAlignment="1" pivotButton="0" quotePrefix="0" xfId="0">
      <alignment horizontal="right" vertical="center" wrapText="1"/>
    </xf>
    <xf numFmtId="166" fontId="11" fillId="65" borderId="5" applyAlignment="1" pivotButton="0" quotePrefix="0" xfId="0">
      <alignment horizontal="right" vertical="center" wrapText="1"/>
    </xf>
    <xf numFmtId="0" fontId="11" fillId="66" borderId="5" applyAlignment="1" pivotButton="0" quotePrefix="0" xfId="0">
      <alignment vertical="center" wrapText="1"/>
    </xf>
    <xf numFmtId="166" fontId="11" fillId="66" borderId="5" applyAlignment="1" pivotButton="0" quotePrefix="0" xfId="0">
      <alignment horizontal="right" vertical="center" wrapText="1"/>
    </xf>
    <xf numFmtId="0" fontId="0" fillId="67" borderId="5" applyAlignment="1" pivotButton="0" quotePrefix="0" xfId="0">
      <alignment vertical="center" wrapText="1"/>
    </xf>
    <xf numFmtId="0" fontId="11" fillId="67" borderId="5" applyAlignment="1" pivotButton="0" quotePrefix="0" xfId="0">
      <alignment vertical="center" wrapText="1"/>
    </xf>
    <xf numFmtId="166" fontId="0" fillId="67" borderId="5" applyAlignment="1" pivotButton="0" quotePrefix="0" xfId="0">
      <alignment horizontal="right" vertical="center" wrapText="1"/>
    </xf>
    <xf numFmtId="166" fontId="11" fillId="67" borderId="5" applyAlignment="1" pivotButton="0" quotePrefix="0" xfId="0">
      <alignment horizontal="right" vertical="center" wrapText="1"/>
    </xf>
    <xf numFmtId="0" fontId="11" fillId="68" borderId="5" applyAlignment="1" pivotButton="0" quotePrefix="0" xfId="0">
      <alignment vertical="center" wrapText="1"/>
    </xf>
    <xf numFmtId="166" fontId="11" fillId="68" borderId="5" applyAlignment="1" pivotButton="0" quotePrefix="0" xfId="0">
      <alignment horizontal="right" vertical="center" wrapText="1"/>
    </xf>
    <xf numFmtId="0" fontId="4" fillId="6" borderId="12" pivotButton="0" quotePrefix="0" xfId="0"/>
    <xf numFmtId="9" fontId="6" fillId="6" borderId="12" applyAlignment="1" pivotButton="0" quotePrefix="0" xfId="0">
      <alignment horizontal="center" vertical="center"/>
    </xf>
    <xf numFmtId="166" fontId="6" fillId="6" borderId="12" applyAlignment="1" pivotButton="0" quotePrefix="0" xfId="0">
      <alignment horizontal="center" vertical="center"/>
    </xf>
    <xf numFmtId="165" fontId="6" fillId="6" borderId="12" applyAlignment="1" pivotButton="0" quotePrefix="0" xfId="0">
      <alignment horizontal="center" vertical="center"/>
    </xf>
    <xf numFmtId="3" fontId="6" fillId="6" borderId="12" applyAlignment="1" pivotButton="0" quotePrefix="0" xfId="0">
      <alignment horizontal="center" vertical="center"/>
    </xf>
    <xf numFmtId="164" fontId="0" fillId="5" borderId="4" applyAlignment="1" pivotButton="0" quotePrefix="0" xfId="0">
      <alignment horizontal="center" vertical="center"/>
    </xf>
    <xf numFmtId="164" fontId="0" fillId="5" borderId="5" applyAlignment="1" pivotButton="0" quotePrefix="0" xfId="0">
      <alignment horizontal="center" vertical="center"/>
    </xf>
    <xf numFmtId="164" fontId="0" fillId="5" borderId="6" applyAlignment="1" pivotButton="0" quotePrefix="0" xfId="0">
      <alignment horizontal="center" vertical="center"/>
    </xf>
    <xf numFmtId="0" fontId="4" fillId="13" borderId="12" pivotButton="0" quotePrefix="0" xfId="0"/>
    <xf numFmtId="164" fontId="0" fillId="15" borderId="7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5" fontId="0" fillId="6" borderId="4" applyAlignment="1" pivotButton="0" quotePrefix="0" xfId="0">
      <alignment horizontal="center" vertical="center"/>
    </xf>
    <xf numFmtId="1" fontId="0" fillId="0" borderId="5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165" fontId="0" fillId="6" borderId="5" applyAlignment="1" pivotButton="0" quotePrefix="0" xfId="0">
      <alignment horizontal="center" vertical="center"/>
    </xf>
    <xf numFmtId="1" fontId="0" fillId="0" borderId="6" applyAlignment="1" pivotButton="0" quotePrefix="0" xfId="0">
      <alignment horizontal="center" vertical="center"/>
    </xf>
    <xf numFmtId="165" fontId="0" fillId="0" borderId="6" applyAlignment="1" pivotButton="0" quotePrefix="0" xfId="0">
      <alignment horizontal="center" vertical="center"/>
    </xf>
    <xf numFmtId="165" fontId="0" fillId="6" borderId="6" applyAlignment="1" pivotButton="0" quotePrefix="0" xfId="0">
      <alignment horizontal="center" vertical="center"/>
    </xf>
    <xf numFmtId="3" fontId="0" fillId="0" borderId="4" pivotButton="0" quotePrefix="0" xfId="0"/>
    <xf numFmtId="3" fontId="0" fillId="0" borderId="5" pivotButton="0" quotePrefix="0" xfId="0"/>
    <xf numFmtId="3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0" borderId="10" applyAlignment="1" pivotButton="0" quotePrefix="0" xfId="0">
      <alignment horizontal="center"/>
    </xf>
    <xf numFmtId="166" fontId="0" fillId="0" borderId="10" applyAlignment="1" pivotButton="0" quotePrefix="0" xfId="0">
      <alignment horizontal="center"/>
    </xf>
    <xf numFmtId="164" fontId="0" fillId="0" borderId="12" applyAlignment="1" pivotButton="0" quotePrefix="0" xfId="0">
      <alignment horizontal="center"/>
    </xf>
    <xf numFmtId="166" fontId="0" fillId="0" borderId="12" applyAlignment="1" pivotButton="0" quotePrefix="0" xfId="0">
      <alignment horizontal="center"/>
    </xf>
    <xf numFmtId="164" fontId="0" fillId="0" borderId="14" applyAlignment="1" pivotButton="0" quotePrefix="0" xfId="0">
      <alignment horizontal="center"/>
    </xf>
    <xf numFmtId="166" fontId="0" fillId="0" borderId="14" applyAlignment="1" pivotButton="0" quotePrefix="0" xfId="0">
      <alignment horizontal="center"/>
    </xf>
    <xf numFmtId="166" fontId="11" fillId="57" borderId="4" applyAlignment="1" pivotButton="0" quotePrefix="0" xfId="0">
      <alignment horizontal="right" vertical="center" wrapText="1"/>
    </xf>
    <xf numFmtId="166" fontId="11" fillId="24" borderId="4" applyAlignment="1" pivotButton="0" quotePrefix="0" xfId="0">
      <alignment horizontal="left" vertical="center" wrapText="1"/>
    </xf>
    <xf numFmtId="166" fontId="0" fillId="59" borderId="5" applyAlignment="1" pivotButton="0" quotePrefix="0" xfId="0">
      <alignment horizontal="right" vertical="center" wrapText="1"/>
    </xf>
    <xf numFmtId="166" fontId="0" fillId="5" borderId="5" applyAlignment="1" pivotButton="0" quotePrefix="0" xfId="0">
      <alignment horizontal="left" vertical="center" wrapText="1"/>
    </xf>
    <xf numFmtId="166" fontId="11" fillId="57" borderId="5" applyAlignment="1" pivotButton="0" quotePrefix="0" xfId="0">
      <alignment horizontal="right" vertical="center" wrapText="1"/>
    </xf>
    <xf numFmtId="166" fontId="11" fillId="24" borderId="5" applyAlignment="1" pivotButton="0" quotePrefix="0" xfId="0">
      <alignment horizontal="left" vertical="center" wrapText="1"/>
    </xf>
    <xf numFmtId="166" fontId="0" fillId="58" borderId="5" applyAlignment="1" pivotButton="0" quotePrefix="0" xfId="0">
      <alignment horizontal="right" vertical="center" wrapText="1"/>
    </xf>
    <xf numFmtId="166" fontId="0" fillId="16" borderId="5" applyAlignment="1" pivotButton="0" quotePrefix="0" xfId="0">
      <alignment horizontal="left" vertical="center" wrapText="1"/>
    </xf>
    <xf numFmtId="166" fontId="11" fillId="66" borderId="5" applyAlignment="1" pivotButton="0" quotePrefix="0" xfId="0">
      <alignment horizontal="right" vertical="center" wrapText="1"/>
    </xf>
    <xf numFmtId="166" fontId="11" fillId="68" borderId="5" applyAlignment="1" pivotButton="0" quotePrefix="0" xfId="0">
      <alignment horizontal="right" vertical="center" wrapText="1"/>
    </xf>
    <xf numFmtId="164" fontId="0" fillId="12" borderId="5" applyAlignment="1" pivotButton="0" quotePrefix="0" xfId="0">
      <alignment horizontal="center" vertical="center"/>
    </xf>
    <xf numFmtId="166" fontId="0" fillId="0" borderId="5" applyAlignment="1" pivotButton="0" quotePrefix="0" xfId="0">
      <alignment horizontal="right" vertical="center" wrapText="1"/>
    </xf>
    <xf numFmtId="164" fontId="0" fillId="12" borderId="6" applyAlignment="1" pivotButton="0" quotePrefix="0" xfId="0">
      <alignment horizontal="center" vertical="center"/>
    </xf>
    <xf numFmtId="164" fontId="0" fillId="59" borderId="6" applyAlignment="1" pivotButton="0" quotePrefix="0" xfId="0">
      <alignment horizontal="center" vertical="center"/>
    </xf>
    <xf numFmtId="1" fontId="0" fillId="0" borderId="12" applyAlignment="1" pivotButton="0" quotePrefix="0" xfId="0">
      <alignment horizontal="right"/>
    </xf>
    <xf numFmtId="164" fontId="0" fillId="0" borderId="12" pivotButton="0" quotePrefix="0" xfId="0"/>
    <xf numFmtId="1" fontId="0" fillId="0" borderId="12" pivotButton="0" quotePrefix="0" xfId="0"/>
    <xf numFmtId="166" fontId="0" fillId="0" borderId="12" pivotButton="0" quotePrefix="0" xfId="0"/>
    <xf numFmtId="166" fontId="11" fillId="68" borderId="4" applyAlignment="1" pivotButton="0" quotePrefix="0" xfId="0">
      <alignment horizontal="right" vertical="center" wrapText="1"/>
    </xf>
    <xf numFmtId="0" fontId="12" fillId="69" borderId="0" applyAlignment="1" pivotButton="0" quotePrefix="0" xfId="0">
      <alignment horizontal="center"/>
    </xf>
    <xf numFmtId="0" fontId="12" fillId="69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59" borderId="7" applyAlignment="1" pivotButton="0" quotePrefix="0" xfId="0">
      <alignment horizontal="center" vertical="center" wrapText="1"/>
    </xf>
    <xf numFmtId="0" fontId="8" fillId="58" borderId="5" applyAlignment="1" pivotButton="0" quotePrefix="0" xfId="0">
      <alignment horizontal="center" vertical="center" wrapText="1"/>
    </xf>
  </cellXfs>
  <cellStyles count="1">
    <cellStyle name="Normal" xfId="0"/>
  </cellStyles>
  <dxfs count="6">
    <dxf>
      <font>
        <b val="1"/>
        <color rgb="FFB42318"/>
      </font>
      <fill>
        <patternFill>
          <bgColor rgb="FFFDE8E7"/>
        </patternFill>
      </fill>
    </dxf>
    <dxf>
      <font>
        <b val="1"/>
        <color rgb="FF2E7D5B"/>
      </font>
      <fill>
        <patternFill>
          <bgColor rgb="FFE5F3EB"/>
        </patternFill>
      </fill>
    </dxf>
    <dxf>
      <font>
        <b val="1"/>
        <color rgb="FFB42318"/>
      </font>
      <fill>
        <patternFill>
          <bgColor rgb="FFFDE8E7"/>
        </patternFill>
      </fill>
    </dxf>
    <dxf>
      <font>
        <b val="1"/>
        <color rgb="FF2E7D5B"/>
      </font>
      <fill>
        <patternFill>
          <bgColor rgb="FFE5F3EB"/>
        </patternFill>
      </fill>
    </dxf>
    <dxf>
      <font>
        <b val="1"/>
        <color rgb="FF2E7D5B"/>
      </font>
      <fill>
        <patternFill>
          <bgColor rgb="FFE5F3EB"/>
        </patternFill>
      </fill>
    </dxf>
    <dxf>
      <font>
        <b val="1"/>
        <color rgb="FFB42318"/>
      </font>
      <fill>
        <patternFill>
          <bgColor rgb="FFFDE8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4" customHeight="1">
      <c r="A1" s="3" t="inlineStr">
        <is>
          <t>30 天重建總覽</t>
        </is>
      </c>
    </row>
    <row r="2" ht="26" customHeight="1">
      <c r="A2" s="6" t="inlineStr">
        <is>
          <t>先保住資本，再談績效｜所有數字由各紀錄表自動彙總</t>
        </is>
      </c>
    </row>
    <row r="4">
      <c r="A4" s="397" t="inlineStr">
        <is>
          <t>核心指標</t>
        </is>
      </c>
      <c r="B4" s="25" t="n"/>
      <c r="C4" s="25" t="n"/>
      <c r="D4" s="25" t="n"/>
      <c r="E4" s="25" t="n"/>
      <c r="F4" s="25" t="n"/>
      <c r="G4" s="25" t="n"/>
      <c r="H4" s="98" t="n"/>
    </row>
    <row r="5" ht="34" customHeight="1">
      <c r="A5" s="161" t="inlineStr">
        <is>
          <t>目前零下注連續天數</t>
        </is>
      </c>
      <c r="C5" s="161" t="inlineStr">
        <is>
          <t>每日完成率</t>
        </is>
      </c>
      <c r="E5" s="161" t="inlineStr">
        <is>
          <t>重訓次數</t>
        </is>
      </c>
      <c r="G5" s="161" t="inlineStr">
        <is>
          <t>平均衝動</t>
        </is>
      </c>
    </row>
    <row r="6" ht="34" customHeight="1">
      <c r="A6" s="165">
        <f>IF(COUNTA('每日檢核'!$B$5:$B$34)=0,0,INDEX('每日檢核'!$J$5:$J$34,COUNTA('每日檢核'!$B$5:$B$34)))</f>
        <v/>
      </c>
      <c r="C6" s="398">
        <f>COUNTIF('每日檢核'!$B$5:$B$34,"是")/30</f>
        <v/>
      </c>
      <c r="E6" s="165">
        <f>COUNTIF('每日檢核'!$G$5:$G$34,"是")</f>
        <v/>
      </c>
      <c r="G6" s="399">
        <f>IFERROR(AVERAGE('每日檢核'!$D$5:$D$34),0)</f>
        <v/>
      </c>
    </row>
    <row r="7" ht="34" customHeight="1">
      <c r="A7" s="161" t="inlineStr">
        <is>
          <t>總訓練組數</t>
        </is>
      </c>
      <c r="C7" s="161" t="inlineStr">
        <is>
          <t>總訓練量</t>
        </is>
      </c>
      <c r="E7" s="161" t="inlineStr">
        <is>
          <t>目前現金</t>
        </is>
      </c>
      <c r="G7" s="161" t="inlineStr">
        <is>
          <t>緩衝達成率</t>
        </is>
      </c>
    </row>
    <row r="8" ht="34" customHeight="1">
      <c r="A8" s="165">
        <f>COUNTA('重訓紀錄'!$C$5:$C$304)</f>
        <v/>
      </c>
      <c r="C8" s="400">
        <f>SUM('重訓紀錄'!$H$5:$H$304)</f>
        <v/>
      </c>
      <c r="E8" s="401">
        <f>'資金控制'!B9</f>
        <v/>
      </c>
      <c r="G8" s="398">
        <f>MIN('資金控制'!B9/'資金控制'!B7,1)</f>
        <v/>
      </c>
    </row>
    <row r="10">
      <c r="A10" s="397" t="inlineStr">
        <is>
          <t>今天只做三件事</t>
        </is>
      </c>
      <c r="B10" s="25" t="n"/>
      <c r="C10" s="25" t="n"/>
      <c r="D10" s="25" t="n"/>
      <c r="E10" s="25" t="n"/>
      <c r="F10" s="25" t="n"/>
      <c r="G10" s="25" t="n"/>
      <c r="H10" s="98" t="n"/>
    </row>
    <row r="11" ht="38" customHeight="1">
      <c r="A11" s="147" t="inlineStr">
        <is>
          <t>1. 封閉資金入口：暫停運彩、終止 Tradeify、刪除 App、移除付款資料與取消盤口內容。</t>
        </is>
      </c>
      <c r="B11" s="23" t="n"/>
      <c r="C11" s="23" t="n"/>
      <c r="D11" s="23" t="n"/>
      <c r="E11" s="23" t="n"/>
      <c r="F11" s="23" t="n"/>
      <c r="G11" s="23" t="n"/>
      <c r="H11" s="23" t="n"/>
    </row>
    <row r="12" ht="38" customHeight="1">
      <c r="A12" s="148" t="inlineStr">
        <is>
          <t>2. 建立資金防線：設定入薪後自動轉存 80,000 元，寫下『210 萬已結束，不靠下注追回』。</t>
        </is>
      </c>
      <c r="B12" s="25" t="n"/>
      <c r="C12" s="25" t="n"/>
      <c r="D12" s="25" t="n"/>
      <c r="E12" s="25" t="n"/>
      <c r="F12" s="25" t="n"/>
      <c r="G12" s="25" t="n"/>
      <c r="H12" s="25" t="n"/>
    </row>
    <row r="13" ht="38" customHeight="1">
      <c r="A13" s="149" t="inlineStr">
        <is>
          <t>3. 建立晚間替代：完成第一次全身重訓，寫第一筆日誌，再散步或看一集影集。</t>
        </is>
      </c>
      <c r="B13" s="27" t="n"/>
      <c r="C13" s="27" t="n"/>
      <c r="D13" s="27" t="n"/>
      <c r="E13" s="27" t="n"/>
      <c r="F13" s="27" t="n"/>
      <c r="G13" s="27" t="n"/>
      <c r="H13" s="27" t="n"/>
    </row>
    <row r="15">
      <c r="A15" s="397" t="inlineStr">
        <is>
          <t>本週檢查</t>
        </is>
      </c>
      <c r="B15" s="25" t="n"/>
      <c r="C15" s="25" t="n"/>
      <c r="D15" s="25" t="n"/>
      <c r="E15" s="25" t="n"/>
      <c r="F15" s="25" t="n"/>
      <c r="G15" s="25" t="n"/>
      <c r="H15" s="98" t="n"/>
    </row>
    <row r="16">
      <c r="A16" s="171" t="inlineStr">
        <is>
          <t>項目</t>
        </is>
      </c>
      <c r="B16" s="172" t="inlineStr">
        <is>
          <t>目標</t>
        </is>
      </c>
      <c r="C16" s="172" t="inlineStr">
        <is>
          <t>目前</t>
        </is>
      </c>
      <c r="D16" s="173" t="inlineStr">
        <is>
          <t>狀態</t>
        </is>
      </c>
    </row>
    <row r="17">
      <c r="A17" s="98" t="inlineStr">
        <is>
          <t>零下注</t>
        </is>
      </c>
      <c r="B17" s="116" t="inlineStr">
        <is>
          <t>7 天</t>
        </is>
      </c>
      <c r="C17" s="116">
        <f>'每週檢討'!D5</f>
        <v/>
      </c>
      <c r="D17" s="176">
        <f>IF(C17&gt;=7,"達成","未達")</f>
        <v/>
      </c>
    </row>
    <row r="18">
      <c r="A18" s="98" t="inlineStr">
        <is>
          <t>重訓</t>
        </is>
      </c>
      <c r="B18" s="116" t="inlineStr">
        <is>
          <t>3 次</t>
        </is>
      </c>
      <c r="C18" s="116">
        <f>'每週檢討'!E5</f>
        <v/>
      </c>
      <c r="D18" s="176">
        <f>IF(C18&gt;=3,"達成","未達")</f>
        <v/>
      </c>
    </row>
    <row r="19">
      <c r="A19" s="98" t="inlineStr">
        <is>
          <t>散步</t>
        </is>
      </c>
      <c r="B19" s="116" t="inlineStr">
        <is>
          <t>120 分鐘</t>
        </is>
      </c>
      <c r="C19" s="116">
        <f>'每週檢討'!F5</f>
        <v/>
      </c>
      <c r="D19" s="176">
        <f>IF(C19&gt;=120,"達成","未達")</f>
        <v/>
      </c>
    </row>
    <row r="20">
      <c r="A20" s="104" t="inlineStr">
        <is>
          <t>日誌</t>
        </is>
      </c>
      <c r="B20" s="120" t="inlineStr">
        <is>
          <t>7 天</t>
        </is>
      </c>
      <c r="C20" s="120">
        <f>COUNTA('每日檢核'!$B$5:$B$11)</f>
        <v/>
      </c>
      <c r="D20" s="177">
        <f>IF(C20&gt;=7,"達成","未達")</f>
        <v/>
      </c>
    </row>
  </sheetData>
  <mergeCells count="8">
    <mergeCell ref="A12:H12"/>
    <mergeCell ref="A4:H4"/>
    <mergeCell ref="A15:H15"/>
    <mergeCell ref="A2:H2"/>
    <mergeCell ref="A10:H10"/>
    <mergeCell ref="A13:H13"/>
    <mergeCell ref="A11:H11"/>
    <mergeCell ref="A1:H1"/>
  </mergeCells>
  <conditionalFormatting sqref="D17:D20">
    <cfRule type="containsText" priority="1" operator="containsText" dxfId="1" text="達成"/>
    <cfRule type="containsText" priority="2" operator="containsText" dxfId="0" text="未達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24" customWidth="1" min="5" max="5"/>
    <col width="24" customWidth="1" min="6" max="6"/>
    <col width="12" customWidth="1" min="7" max="7"/>
    <col width="13" customWidth="1" min="8" max="8"/>
    <col width="13" customWidth="1" min="9" max="9"/>
    <col width="13" customWidth="1" min="10" max="10"/>
  </cols>
  <sheetData>
    <row r="1" ht="34" customHeight="1">
      <c r="A1" s="3" t="inlineStr">
        <is>
          <t>30 天每日檢核</t>
        </is>
      </c>
    </row>
    <row r="2" ht="26" customHeight="1">
      <c r="A2" s="6" t="inlineStr">
        <is>
          <t>2026-08-04 至 2026-09-02｜空白代表尚未回報，不會自動判定失敗</t>
        </is>
      </c>
    </row>
    <row r="4" ht="30" customHeight="1">
      <c r="A4" s="18" t="inlineStr">
        <is>
          <t>日期</t>
        </is>
      </c>
      <c r="B4" s="19" t="inlineStr">
        <is>
          <t>零下注</t>
        </is>
      </c>
      <c r="C4" s="19" t="inlineStr">
        <is>
          <t>查看盤口</t>
        </is>
      </c>
      <c r="D4" s="19" t="inlineStr">
        <is>
          <t>衝動 0–10</t>
        </is>
      </c>
      <c r="E4" s="19" t="inlineStr">
        <is>
          <t>觸發原因</t>
        </is>
      </c>
      <c r="F4" s="19" t="inlineStr">
        <is>
          <t>替代行動</t>
        </is>
      </c>
      <c r="G4" s="19" t="inlineStr">
        <is>
          <t>完成重訓</t>
        </is>
      </c>
      <c r="H4" s="19" t="inlineStr">
        <is>
          <t>散步分鐘</t>
        </is>
      </c>
      <c r="I4" s="19" t="inlineStr">
        <is>
          <t>睡眠小時</t>
        </is>
      </c>
      <c r="J4" s="20" t="inlineStr">
        <is>
          <t>連續零下注</t>
        </is>
      </c>
    </row>
    <row r="5">
      <c r="A5" s="402" t="n">
        <v>46238</v>
      </c>
      <c r="B5" s="38" t="inlineStr">
        <is>
          <t>是</t>
        </is>
      </c>
      <c r="C5" s="38" t="inlineStr">
        <is>
          <t>否</t>
        </is>
      </c>
      <c r="D5" s="38" t="n">
        <v>0</v>
      </c>
      <c r="E5" s="43" t="n"/>
      <c r="F5" s="43" t="n"/>
      <c r="G5" s="38">
        <f>IF(COUNTIF('重訓紀錄'!$A$5:$A$304,A5)&gt;0,"是",IF(B5="","","否"))</f>
        <v/>
      </c>
      <c r="H5" s="38" t="n">
        <v>0</v>
      </c>
      <c r="I5" s="38" t="n">
        <v>8</v>
      </c>
      <c r="J5" s="38">
        <f>IF(B5="","",IF(B5="是",1,0))</f>
        <v/>
      </c>
    </row>
    <row r="6">
      <c r="A6" s="403" t="n">
        <v>46239</v>
      </c>
      <c r="B6" s="40" t="inlineStr">
        <is>
          <t>是</t>
        </is>
      </c>
      <c r="C6" s="40" t="inlineStr">
        <is>
          <t>否</t>
        </is>
      </c>
      <c r="D6" s="40" t="n">
        <v>0</v>
      </c>
      <c r="E6" s="44" t="n"/>
      <c r="F6" s="44" t="n"/>
      <c r="G6" s="40" t="inlineStr">
        <is>
          <t>否</t>
        </is>
      </c>
      <c r="H6" s="40" t="n">
        <v>30</v>
      </c>
      <c r="I6" s="40" t="n">
        <v>7.5</v>
      </c>
      <c r="J6" s="40">
        <f>IF(B6="","",IF(B6="是",J5+1,0))</f>
        <v/>
      </c>
    </row>
    <row r="7">
      <c r="A7" s="403" t="n">
        <v>46240</v>
      </c>
      <c r="B7" s="40" t="inlineStr">
        <is>
          <t>是</t>
        </is>
      </c>
      <c r="C7" s="40" t="inlineStr">
        <is>
          <t>否</t>
        </is>
      </c>
      <c r="D7" s="40" t="n">
        <v>0</v>
      </c>
      <c r="E7" s="44" t="n"/>
      <c r="F7" s="44" t="n"/>
      <c r="G7" s="40" t="inlineStr">
        <is>
          <t>否</t>
        </is>
      </c>
      <c r="H7" s="40" t="n">
        <v>30</v>
      </c>
      <c r="I7" s="40" t="n">
        <v>7</v>
      </c>
      <c r="J7" s="40">
        <f>IF(B7="是",J6+1,0)</f>
        <v/>
      </c>
    </row>
    <row r="8">
      <c r="A8" s="403" t="n">
        <v>46241</v>
      </c>
      <c r="B8" s="40" t="inlineStr">
        <is>
          <t>是</t>
        </is>
      </c>
      <c r="C8" s="40" t="inlineStr">
        <is>
          <t>否</t>
        </is>
      </c>
      <c r="D8" s="40" t="n">
        <v>1</v>
      </c>
      <c r="E8" s="44" t="inlineStr">
        <is>
          <t>看到 DC 群組的運彩分享</t>
        </is>
      </c>
      <c r="F8" s="44" t="inlineStr">
        <is>
          <t>無</t>
        </is>
      </c>
      <c r="G8" s="40" t="inlineStr">
        <is>
          <t>否</t>
        </is>
      </c>
      <c r="H8" s="40" t="n">
        <v>0</v>
      </c>
      <c r="I8" s="40" t="n">
        <v>8</v>
      </c>
      <c r="J8" s="40">
        <f>IF(B8="是",J7+1,0)</f>
        <v/>
      </c>
    </row>
    <row r="9">
      <c r="A9" s="403" t="n">
        <v>46242</v>
      </c>
      <c r="B9" s="40" t="inlineStr">
        <is>
          <t>是</t>
        </is>
      </c>
      <c r="C9" s="40" t="inlineStr">
        <is>
          <t>否</t>
        </is>
      </c>
      <c r="D9" s="40" t="n">
        <v>0</v>
      </c>
      <c r="E9" s="44" t="n"/>
      <c r="F9" s="44" t="n"/>
      <c r="G9" s="40" t="inlineStr">
        <is>
          <t>是</t>
        </is>
      </c>
      <c r="H9" s="40" t="n">
        <v>0</v>
      </c>
      <c r="I9" s="40" t="n">
        <v>10</v>
      </c>
      <c r="J9" s="40">
        <f>IF(B9="是",J8+1,0)</f>
        <v/>
      </c>
    </row>
    <row r="10">
      <c r="A10" s="403" t="n">
        <v>46243</v>
      </c>
      <c r="B10" s="40" t="inlineStr">
        <is>
          <t>是</t>
        </is>
      </c>
      <c r="C10" s="40" t="inlineStr">
        <is>
          <t>否</t>
        </is>
      </c>
      <c r="D10" s="40" t="n">
        <v>0</v>
      </c>
      <c r="E10" s="44" t="n"/>
      <c r="F10" s="44" t="n"/>
      <c r="G10" s="40" t="inlineStr">
        <is>
          <t>否</t>
        </is>
      </c>
      <c r="H10" s="40" t="n">
        <v>15</v>
      </c>
      <c r="I10" s="40" t="n">
        <v>9</v>
      </c>
      <c r="J10" s="40">
        <f>IF(B10="","",IF(B10="是",J9+1,0))</f>
        <v/>
      </c>
    </row>
    <row r="11">
      <c r="A11" s="403" t="n">
        <v>46244</v>
      </c>
      <c r="B11" s="40" t="inlineStr">
        <is>
          <t>是</t>
        </is>
      </c>
      <c r="C11" s="40" t="inlineStr">
        <is>
          <t>否</t>
        </is>
      </c>
      <c r="D11" s="40" t="n">
        <v>0</v>
      </c>
      <c r="E11" s="44" t="n"/>
      <c r="F11" s="44" t="n"/>
      <c r="G11" s="40" t="inlineStr">
        <is>
          <t>否</t>
        </is>
      </c>
      <c r="H11" s="40" t="n">
        <v>20</v>
      </c>
      <c r="I11" s="40" t="n">
        <v>3</v>
      </c>
      <c r="J11" s="40">
        <f>IF(B11="","",IF(B11="是",J10+1,0))</f>
        <v/>
      </c>
    </row>
    <row r="12">
      <c r="A12" s="403" t="n">
        <v>46245</v>
      </c>
      <c r="B12" s="40" t="inlineStr">
        <is>
          <t>是</t>
        </is>
      </c>
      <c r="C12" s="40" t="inlineStr">
        <is>
          <t>否</t>
        </is>
      </c>
      <c r="D12" s="40" t="n">
        <v>0</v>
      </c>
      <c r="E12" s="44" t="n"/>
      <c r="F12" s="44" t="n"/>
      <c r="G12" s="40" t="inlineStr">
        <is>
          <t>是</t>
        </is>
      </c>
      <c r="H12" s="40" t="n">
        <v>0</v>
      </c>
      <c r="I12" s="40" t="n">
        <v>9</v>
      </c>
      <c r="J12" s="40">
        <f>IF(B12="","",IF(B12="是",J11+1,0))</f>
        <v/>
      </c>
    </row>
    <row r="13">
      <c r="A13" s="403" t="n">
        <v>46246</v>
      </c>
      <c r="B13" s="40" t="inlineStr">
        <is>
          <t>是</t>
        </is>
      </c>
      <c r="C13" s="40" t="inlineStr">
        <is>
          <t>否</t>
        </is>
      </c>
      <c r="D13" s="40" t="n">
        <v>0</v>
      </c>
      <c r="E13" s="44" t="n"/>
      <c r="F13" s="44" t="n"/>
      <c r="G13" s="40">
        <f>IF(COUNTIF('重訓紀錄'!$A$5:$A$304,A13)&gt;0,"是",IF(B13="","","否"))</f>
        <v/>
      </c>
      <c r="H13" s="40" t="n">
        <v>0</v>
      </c>
      <c r="I13" s="40" t="n">
        <v>3</v>
      </c>
      <c r="J13" s="40">
        <f>IF(B13="","",IF(B13="是",J12+1,0))</f>
        <v/>
      </c>
    </row>
    <row r="14">
      <c r="A14" s="403" t="n">
        <v>46247</v>
      </c>
      <c r="B14" s="40" t="inlineStr">
        <is>
          <t>是</t>
        </is>
      </c>
      <c r="C14" s="40" t="inlineStr">
        <is>
          <t>否</t>
        </is>
      </c>
      <c r="D14" s="40" t="n">
        <v>0</v>
      </c>
      <c r="E14" s="44" t="n"/>
      <c r="F14" s="44" t="n"/>
      <c r="G14" s="40" t="inlineStr">
        <is>
          <t>否</t>
        </is>
      </c>
      <c r="H14" s="40" t="n">
        <v>10</v>
      </c>
      <c r="I14" s="40" t="n">
        <v>6</v>
      </c>
      <c r="J14" s="40">
        <f>IF(B14="","",IF(B14="是",J13+1,0))</f>
        <v/>
      </c>
    </row>
    <row r="15">
      <c r="A15" s="403" t="n">
        <v>46248</v>
      </c>
      <c r="B15" s="40" t="inlineStr">
        <is>
          <t>是</t>
        </is>
      </c>
      <c r="C15" s="40" t="inlineStr">
        <is>
          <t>否</t>
        </is>
      </c>
      <c r="D15" s="40" t="n">
        <v>0</v>
      </c>
      <c r="E15" s="44" t="n"/>
      <c r="F15" s="44" t="n"/>
      <c r="G15" s="40">
        <f>IF(COUNTIF('重訓紀錄'!$A$5:$A$304,A15)&gt;0,"是",IF(B15="","","否"))</f>
        <v/>
      </c>
      <c r="H15" s="40" t="n">
        <v>0</v>
      </c>
      <c r="I15" s="40" t="n">
        <v>8</v>
      </c>
      <c r="J15" s="40">
        <f>IF(B15="","",IF(B15="是",J14+1,0))</f>
        <v/>
      </c>
    </row>
    <row r="16">
      <c r="A16" s="403" t="n">
        <v>46249</v>
      </c>
      <c r="B16" s="40" t="inlineStr">
        <is>
          <t>是</t>
        </is>
      </c>
      <c r="C16" s="40" t="inlineStr">
        <is>
          <t>否</t>
        </is>
      </c>
      <c r="D16" s="40" t="n">
        <v>0</v>
      </c>
      <c r="E16" s="44" t="n"/>
      <c r="F16" s="44" t="n"/>
      <c r="G16" s="40" t="inlineStr">
        <is>
          <t>否</t>
        </is>
      </c>
      <c r="H16" s="40" t="n">
        <v>40</v>
      </c>
      <c r="I16" s="40" t="n">
        <v>8</v>
      </c>
      <c r="J16" s="40">
        <f>IF(B16="","",IF(B16="是",J15+1,0))</f>
        <v/>
      </c>
    </row>
    <row r="17">
      <c r="A17" s="403" t="n">
        <v>46250</v>
      </c>
      <c r="B17" s="40" t="inlineStr">
        <is>
          <t>是</t>
        </is>
      </c>
      <c r="C17" s="40" t="inlineStr">
        <is>
          <t>否</t>
        </is>
      </c>
      <c r="D17" s="40" t="n">
        <v>0</v>
      </c>
      <c r="E17" s="44" t="n"/>
      <c r="F17" s="44" t="n"/>
      <c r="G17" s="40" t="inlineStr">
        <is>
          <t>否</t>
        </is>
      </c>
      <c r="H17" s="40" t="n">
        <v>0</v>
      </c>
      <c r="I17" s="40" t="n">
        <v>11</v>
      </c>
      <c r="J17" s="40">
        <f>IF(B17="","",IF(B17="是",J16+1,0))</f>
        <v/>
      </c>
    </row>
    <row r="18">
      <c r="A18" s="403" t="n">
        <v>46251</v>
      </c>
      <c r="B18" s="40" t="inlineStr">
        <is>
          <t>是</t>
        </is>
      </c>
      <c r="C18" s="40" t="inlineStr">
        <is>
          <t>否</t>
        </is>
      </c>
      <c r="D18" s="40" t="n">
        <v>0</v>
      </c>
      <c r="E18" s="44" t="n"/>
      <c r="F18" s="44" t="n"/>
      <c r="G18" s="40" t="inlineStr">
        <is>
          <t>否</t>
        </is>
      </c>
      <c r="H18" s="40" t="n">
        <v>0</v>
      </c>
      <c r="I18" s="40" t="n">
        <v>8</v>
      </c>
      <c r="J18" s="40">
        <f>IF(B18="","",IF(B18="是",J17+1,0))</f>
        <v/>
      </c>
    </row>
    <row r="19">
      <c r="A19" s="403" t="n">
        <v>46252</v>
      </c>
      <c r="B19" s="40" t="inlineStr">
        <is>
          <t>是</t>
        </is>
      </c>
      <c r="C19" s="40" t="inlineStr">
        <is>
          <t>否</t>
        </is>
      </c>
      <c r="D19" s="40" t="n">
        <v>0</v>
      </c>
      <c r="E19" s="44" t="n"/>
      <c r="F19" s="44" t="n"/>
      <c r="G19" s="40">
        <f>IF(COUNTIF('重訓紀錄'!$A$5:$A$304,A19)&gt;0,"是",IF(B19="","","否"))</f>
        <v/>
      </c>
      <c r="H19" s="40" t="n">
        <v>30</v>
      </c>
      <c r="I19" s="40" t="n">
        <v>8</v>
      </c>
      <c r="J19" s="40">
        <f>IF(B19="","",IF(B19="是",J18+1,0))</f>
        <v/>
      </c>
    </row>
    <row r="20">
      <c r="A20" s="403" t="n">
        <v>46253</v>
      </c>
      <c r="B20" s="40" t="inlineStr">
        <is>
          <t>是</t>
        </is>
      </c>
      <c r="C20" s="40" t="inlineStr">
        <is>
          <t>否</t>
        </is>
      </c>
      <c r="D20" s="40" t="n">
        <v>0</v>
      </c>
      <c r="E20" s="44" t="n"/>
      <c r="F20" s="44" t="n"/>
      <c r="G20" s="40" t="inlineStr">
        <is>
          <t>否</t>
        </is>
      </c>
      <c r="H20" s="40" t="n">
        <v>0</v>
      </c>
      <c r="I20" s="40" t="n">
        <v>3</v>
      </c>
      <c r="J20" s="40">
        <f>IF(B20="","",IF(B20="是",J19+1,0))</f>
        <v/>
      </c>
    </row>
    <row r="21">
      <c r="A21" s="403" t="n">
        <v>46254</v>
      </c>
      <c r="B21" s="40" t="inlineStr">
        <is>
          <t>是</t>
        </is>
      </c>
      <c r="C21" s="40" t="inlineStr">
        <is>
          <t>否</t>
        </is>
      </c>
      <c r="D21" s="40" t="n">
        <v>0</v>
      </c>
      <c r="E21" s="44" t="n"/>
      <c r="F21" s="44" t="n"/>
      <c r="G21" s="40" t="inlineStr">
        <is>
          <t>否</t>
        </is>
      </c>
      <c r="H21" s="40" t="n">
        <v>30</v>
      </c>
      <c r="I21" s="40" t="n">
        <v>8</v>
      </c>
      <c r="J21" s="40">
        <f>IF(B21="","",IF(B21="是",J20+1,0))</f>
        <v/>
      </c>
    </row>
    <row r="22">
      <c r="A22" s="403" t="n">
        <v>46255</v>
      </c>
      <c r="B22" s="40" t="inlineStr">
        <is>
          <t>是</t>
        </is>
      </c>
      <c r="C22" s="40" t="inlineStr">
        <is>
          <t>否</t>
        </is>
      </c>
      <c r="D22" s="40" t="n">
        <v>0</v>
      </c>
      <c r="E22" s="44" t="n"/>
      <c r="F22" s="44" t="n"/>
      <c r="G22" s="40" t="inlineStr">
        <is>
          <t>否</t>
        </is>
      </c>
      <c r="H22" s="40" t="n">
        <v>0</v>
      </c>
      <c r="I22" s="40" t="n">
        <v>0</v>
      </c>
      <c r="J22" s="40">
        <f>IF(B22="","",IF(B22="是",J21+1,0))</f>
        <v/>
      </c>
    </row>
    <row r="23">
      <c r="A23" s="403" t="n">
        <v>46256</v>
      </c>
      <c r="B23" s="40" t="inlineStr">
        <is>
          <t>是</t>
        </is>
      </c>
      <c r="C23" s="40" t="inlineStr">
        <is>
          <t>否</t>
        </is>
      </c>
      <c r="D23" s="40" t="n">
        <v>0</v>
      </c>
      <c r="E23" s="44" t="n"/>
      <c r="F23" s="44" t="n"/>
      <c r="G23" s="40" t="inlineStr">
        <is>
          <t>否</t>
        </is>
      </c>
      <c r="H23" s="40" t="n">
        <v>0</v>
      </c>
      <c r="I23" s="40" t="n">
        <v>7</v>
      </c>
      <c r="J23" s="40">
        <f>IF(B23="","",IF(B23="是",J22+1,0))</f>
        <v/>
      </c>
    </row>
    <row r="24">
      <c r="A24" s="403" t="n">
        <v>46257</v>
      </c>
      <c r="B24" s="40" t="inlineStr">
        <is>
          <t>是</t>
        </is>
      </c>
      <c r="C24" s="40" t="inlineStr">
        <is>
          <t>否</t>
        </is>
      </c>
      <c r="D24" s="40" t="n">
        <v>0</v>
      </c>
      <c r="E24" s="44" t="n"/>
      <c r="F24" s="44" t="n"/>
      <c r="G24" s="40" t="inlineStr">
        <is>
          <t>否</t>
        </is>
      </c>
      <c r="H24" s="40" t="n">
        <v>0</v>
      </c>
      <c r="I24" s="40" t="n">
        <v>7</v>
      </c>
      <c r="J24" s="40">
        <f>IF(B24="","",IF(B24="是",J23+1,0))</f>
        <v/>
      </c>
    </row>
    <row r="25">
      <c r="A25" s="403" t="n">
        <v>46258</v>
      </c>
      <c r="B25" s="40" t="n"/>
      <c r="C25" s="40" t="n"/>
      <c r="D25" s="40" t="n"/>
      <c r="E25" s="44" t="n"/>
      <c r="F25" s="44" t="n"/>
      <c r="G25" s="40">
        <f>IF(COUNTIF('重訓紀錄'!$A$5:$A$304,A25)&gt;0,"是",IF(B25="","","否"))</f>
        <v/>
      </c>
      <c r="H25" s="40" t="n"/>
      <c r="I25" s="40" t="n"/>
      <c r="J25" s="40">
        <f>IF(B25="","",IF(B25="是",J24+1,0))</f>
        <v/>
      </c>
    </row>
    <row r="26">
      <c r="A26" s="403" t="n">
        <v>46259</v>
      </c>
      <c r="B26" s="40" t="n"/>
      <c r="C26" s="40" t="n"/>
      <c r="D26" s="40" t="n"/>
      <c r="E26" s="44" t="n"/>
      <c r="F26" s="44" t="n"/>
      <c r="G26" s="40">
        <f>IF(COUNTIF('重訓紀錄'!$A$5:$A$304,A26)&gt;0,"是",IF(B26="","","否"))</f>
        <v/>
      </c>
      <c r="H26" s="40" t="n"/>
      <c r="I26" s="40" t="n">
        <v>6</v>
      </c>
      <c r="J26" s="40">
        <f>IF(B26="","",IF(B26="是",J25+1,0))</f>
        <v/>
      </c>
    </row>
    <row r="27">
      <c r="A27" s="403" t="n">
        <v>46260</v>
      </c>
      <c r="B27" s="40" t="inlineStr">
        <is>
          <t>是</t>
        </is>
      </c>
      <c r="C27" s="40" t="inlineStr">
        <is>
          <t>否</t>
        </is>
      </c>
      <c r="D27" s="40" t="n">
        <v>0</v>
      </c>
      <c r="E27" s="44" t="n"/>
      <c r="F27" s="44" t="n"/>
      <c r="G27" s="40" t="inlineStr">
        <is>
          <t>否</t>
        </is>
      </c>
      <c r="H27" s="40" t="n">
        <v>0</v>
      </c>
      <c r="I27" s="40" t="n"/>
      <c r="J27" s="40">
        <f>IF(B27="","",IF(B27="是",J26+1,0))</f>
        <v/>
      </c>
    </row>
    <row r="28">
      <c r="A28" s="403" t="n">
        <v>46261</v>
      </c>
      <c r="B28" s="40" t="n"/>
      <c r="C28" s="40" t="n"/>
      <c r="D28" s="40" t="n"/>
      <c r="E28" s="44" t="n"/>
      <c r="F28" s="44" t="n"/>
      <c r="G28" s="40">
        <f>IF(COUNTIF('重訓紀錄'!$A$5:$A$304,A28)&gt;0,"是",IF(B28="","","否"))</f>
        <v/>
      </c>
      <c r="H28" s="40" t="n"/>
      <c r="I28" s="40" t="n"/>
      <c r="J28" s="40">
        <f>IF(B28="","",IF(B28="是",J27+1,0))</f>
        <v/>
      </c>
    </row>
    <row r="29">
      <c r="A29" s="403" t="n">
        <v>46262</v>
      </c>
      <c r="B29" s="40" t="inlineStr">
        <is>
          <t>是</t>
        </is>
      </c>
      <c r="C29" s="40" t="inlineStr">
        <is>
          <t>否</t>
        </is>
      </c>
      <c r="D29" s="40" t="n">
        <v>0</v>
      </c>
      <c r="E29" s="44" t="n"/>
      <c r="F29" s="44" t="n"/>
      <c r="G29" s="40">
        <f>IF(COUNTIF('重訓紀錄'!$A$5:$A$304,A29)&gt;0,"是",IF(B29="","","否"))</f>
        <v/>
      </c>
      <c r="H29" s="40" t="n">
        <v>0</v>
      </c>
      <c r="I29" s="40" t="n">
        <v>2</v>
      </c>
      <c r="J29" s="40">
        <f>IF(B29="","",IF(B29="是",J28+1,0))</f>
        <v/>
      </c>
    </row>
    <row r="30">
      <c r="A30" s="403" t="n">
        <v>46263</v>
      </c>
      <c r="B30" s="40" t="n"/>
      <c r="C30" s="40" t="n"/>
      <c r="D30" s="40" t="n"/>
      <c r="E30" s="44" t="n"/>
      <c r="F30" s="44" t="n"/>
      <c r="G30" s="40" t="inlineStr">
        <is>
          <t>否</t>
        </is>
      </c>
      <c r="H30" s="40" t="n">
        <v>0</v>
      </c>
      <c r="I30" s="40" t="n"/>
      <c r="J30" s="40">
        <f>IF(B30="","",IF(B30="是",J29+1,0))</f>
        <v/>
      </c>
    </row>
    <row r="31">
      <c r="A31" s="403" t="n">
        <v>46264</v>
      </c>
      <c r="B31" s="40" t="n"/>
      <c r="C31" s="40" t="n"/>
      <c r="D31" s="40" t="n"/>
      <c r="E31" s="44" t="n"/>
      <c r="F31" s="44" t="n"/>
      <c r="G31" s="40" t="inlineStr">
        <is>
          <t>否</t>
        </is>
      </c>
      <c r="H31" s="40" t="n">
        <v>30</v>
      </c>
      <c r="I31" s="40" t="n"/>
      <c r="J31" s="40">
        <f>IF(B31="","",IF(B31="是",J30+1,0))</f>
        <v/>
      </c>
    </row>
    <row r="32">
      <c r="A32" s="403" t="n">
        <v>46265</v>
      </c>
      <c r="B32" s="40" t="n"/>
      <c r="C32" s="40" t="n"/>
      <c r="D32" s="40" t="n"/>
      <c r="E32" s="44" t="n"/>
      <c r="F32" s="44" t="n"/>
      <c r="G32" s="40" t="inlineStr">
        <is>
          <t>否</t>
        </is>
      </c>
      <c r="H32" s="40" t="n">
        <v>0</v>
      </c>
      <c r="I32" s="40" t="n"/>
      <c r="J32" s="40">
        <f>IF(B32="","",IF(B32="是",J31+1,0))</f>
        <v/>
      </c>
    </row>
    <row r="33">
      <c r="A33" s="403" t="n">
        <v>46266</v>
      </c>
      <c r="B33" s="40" t="n"/>
      <c r="C33" s="40" t="n"/>
      <c r="D33" s="40" t="n"/>
      <c r="E33" s="44" t="n"/>
      <c r="F33" s="44" t="n"/>
      <c r="G33" s="40" t="inlineStr">
        <is>
          <t>否</t>
        </is>
      </c>
      <c r="H33" s="40" t="n">
        <v>0</v>
      </c>
      <c r="I33" s="40" t="n"/>
      <c r="J33" s="40">
        <f>IF(B33="","",IF(B33="是",J32+1,0))</f>
        <v/>
      </c>
    </row>
    <row r="34">
      <c r="A34" s="404" t="n">
        <v>46267</v>
      </c>
      <c r="B34" s="42" t="n"/>
      <c r="C34" s="42" t="n"/>
      <c r="D34" s="42" t="n"/>
      <c r="E34" s="45" t="n"/>
      <c r="F34" s="45" t="n"/>
      <c r="G34" s="42" t="inlineStr">
        <is>
          <t>否</t>
        </is>
      </c>
      <c r="H34" s="42" t="n">
        <v>0</v>
      </c>
      <c r="I34" s="42" t="n"/>
      <c r="J34" s="42">
        <f>IF(B34="","",IF(B34="是",J33+1,0))</f>
        <v/>
      </c>
    </row>
    <row r="36">
      <c r="A36" s="405" t="inlineStr">
        <is>
          <t>準備日基準（不納入 30 天統計）</t>
        </is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98" t="n"/>
    </row>
    <row r="37" ht="30" customHeight="1">
      <c r="A37" s="210" t="inlineStr">
        <is>
          <t>日期</t>
        </is>
      </c>
      <c r="B37" s="210" t="inlineStr">
        <is>
          <t>零下注</t>
        </is>
      </c>
      <c r="C37" s="210" t="inlineStr">
        <is>
          <t>查看盤口</t>
        </is>
      </c>
      <c r="D37" s="210" t="inlineStr">
        <is>
          <t>衝動 0–10</t>
        </is>
      </c>
      <c r="E37" s="210" t="inlineStr">
        <is>
          <t>觸發原因</t>
        </is>
      </c>
      <c r="F37" s="210" t="inlineStr">
        <is>
          <t>替代行動</t>
        </is>
      </c>
      <c r="G37" s="210" t="inlineStr">
        <is>
          <t>完成重訓</t>
        </is>
      </c>
      <c r="H37" s="210" t="inlineStr">
        <is>
          <t>散步分鐘</t>
        </is>
      </c>
      <c r="I37" s="210" t="inlineStr">
        <is>
          <t>睡眠小時</t>
        </is>
      </c>
      <c r="J37" s="210" t="inlineStr">
        <is>
          <t>備註</t>
        </is>
      </c>
    </row>
    <row r="38" ht="42" customHeight="1">
      <c r="A38" s="406" t="n">
        <v>46237</v>
      </c>
      <c r="B38" s="220" t="inlineStr">
        <is>
          <t>是</t>
        </is>
      </c>
      <c r="C38" s="222" t="inlineStr">
        <is>
          <t>是</t>
        </is>
      </c>
      <c r="D38" s="218" t="n">
        <v>3</v>
      </c>
      <c r="E38" s="44" t="inlineStr">
        <is>
          <t>看到 DC 群通知與推薦</t>
        </is>
      </c>
      <c r="F38" s="44" t="inlineStr">
        <is>
          <t>將運彩下注上限改成 0</t>
        </is>
      </c>
      <c r="G38" s="218" t="inlineStr">
        <is>
          <t>否</t>
        </is>
      </c>
      <c r="H38" s="218" t="n">
        <v>15</v>
      </c>
      <c r="I38" s="218" t="n">
        <v>6</v>
      </c>
      <c r="J38" s="215" t="inlineStr">
        <is>
          <t>準備日；不計入正式 30 天完成率。</t>
        </is>
      </c>
    </row>
    <row r="39">
      <c r="A39" s="450" t="n">
        <v>46276</v>
      </c>
      <c r="B39" s="451" t="n"/>
      <c r="C39" s="222" t="n"/>
      <c r="D39" s="218" t="n"/>
      <c r="E39" s="44" t="n"/>
      <c r="F39" s="44" t="n"/>
      <c r="G39" s="218" t="n"/>
      <c r="H39" s="218" t="n">
        <v>20</v>
      </c>
      <c r="I39" s="218" t="n"/>
      <c r="J39" s="215" t="n"/>
    </row>
  </sheetData>
  <mergeCells count="3">
    <mergeCell ref="A1:J1"/>
    <mergeCell ref="A36:J36"/>
    <mergeCell ref="A2:J2"/>
  </mergeCells>
  <conditionalFormatting sqref="B5:B34">
    <cfRule type="containsText" priority="1" operator="containsText" dxfId="0" text="否"/>
    <cfRule type="containsText" priority="2" operator="containsText" dxfId="1" text="是"/>
  </conditionalFormatting>
  <conditionalFormatting sqref="C5:C34">
    <cfRule type="containsText" priority="3" operator="containsText" dxfId="0" text="是"/>
  </conditionalFormatting>
  <conditionalFormatting sqref="G5:G34">
    <cfRule type="containsText" priority="4" operator="containsText" dxfId="1" text="是"/>
  </conditionalFormatting>
  <dataValidations count="11">
    <dataValidation sqref="B5:B34" showDropDown="0" showInputMessage="0" showErrorMessage="0" allowBlank="0" type="list">
      <formula1>"是,否"</formula1>
    </dataValidation>
    <dataValidation sqref="C5:C34" showDropDown="0" showInputMessage="0" showErrorMessage="0" allowBlank="0" type="list">
      <formula1>"否,是"</formula1>
    </dataValidation>
    <dataValidation sqref="D5:D34" showDropDown="0" showInputMessage="0" showErrorMessage="0" allowBlank="0" type="whole" operator="between">
      <formula1>0</formula1>
      <formula2>10</formula2>
    </dataValidation>
    <dataValidation sqref="H5:H34" showDropDown="0" showInputMessage="0" showErrorMessage="0" allowBlank="0" type="whole" operator="between">
      <formula1>0</formula1>
      <formula2>600</formula2>
    </dataValidation>
    <dataValidation sqref="I5:I34" showDropDown="0" showInputMessage="0" showErrorMessage="0" allowBlank="0" type="decimal" operator="between">
      <formula1>0</formula1>
      <formula2>24</formula2>
    </dataValidation>
    <dataValidation sqref="B38" showDropDown="0" showInputMessage="0" showErrorMessage="0" allowBlank="0" type="list">
      <formula1>"是,否"</formula1>
    </dataValidation>
    <dataValidation sqref="C38" showDropDown="0" showInputMessage="0" showErrorMessage="0" allowBlank="0" type="list">
      <formula1>"否,是"</formula1>
    </dataValidation>
    <dataValidation sqref="G38" showDropDown="0" showInputMessage="0" showErrorMessage="0" allowBlank="0" type="list">
      <formula1>"是,否"</formula1>
    </dataValidation>
    <dataValidation sqref="D38" showDropDown="0" showInputMessage="0" showErrorMessage="0" allowBlank="0" type="whole" operator="between">
      <formula1>0</formula1>
      <formula2>10</formula2>
    </dataValidation>
    <dataValidation sqref="H38" showDropDown="0" showInputMessage="0" showErrorMessage="0" allowBlank="0" type="whole" operator="between">
      <formula1>0</formula1>
      <formula2>600</formula2>
    </dataValidation>
    <dataValidation sqref="I38" showDropDown="0" showInputMessage="0" showErrorMessage="0" allowBlank="0" type="decimal" operator="between">
      <formula1>0</formula1>
      <formula2>24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  <col width="24" customWidth="1" min="9" max="9"/>
  </cols>
  <sheetData>
    <row r="1" ht="34" customHeight="1">
      <c r="A1" s="3" t="inlineStr">
        <is>
          <t>逐組重訓紀錄</t>
        </is>
      </c>
    </row>
    <row r="2" ht="26" customHeight="1">
      <c r="A2" s="6" t="inlineStr">
        <is>
          <t>啞鈴填單手重量；自重動作重量填 0 並在備註註明「自重」</t>
        </is>
      </c>
    </row>
    <row r="3"/>
    <row r="4" ht="30" customHeight="1">
      <c r="A4" s="18" t="inlineStr">
        <is>
          <t>日期</t>
        </is>
      </c>
      <c r="B4" s="19" t="inlineStr">
        <is>
          <t>訓練名稱</t>
        </is>
      </c>
      <c r="C4" s="19" t="inlineStr">
        <is>
          <t>動作</t>
        </is>
      </c>
      <c r="D4" s="19" t="inlineStr">
        <is>
          <t>組次</t>
        </is>
      </c>
      <c r="E4" s="19" t="inlineStr">
        <is>
          <t>重量（kg）</t>
        </is>
      </c>
      <c r="F4" s="19" t="inlineStr">
        <is>
          <t>次數</t>
        </is>
      </c>
      <c r="G4" s="19" t="inlineStr">
        <is>
          <t>DBR</t>
        </is>
      </c>
      <c r="H4" s="19" t="inlineStr">
        <is>
          <t>訓練量</t>
        </is>
      </c>
      <c r="I4" s="20" t="inlineStr">
        <is>
          <t>備註</t>
        </is>
      </c>
    </row>
    <row r="5">
      <c r="A5" s="402" t="n">
        <v>46238</v>
      </c>
      <c r="B5" s="32" t="inlineStr">
        <is>
          <t>重訓</t>
        </is>
      </c>
      <c r="C5" s="32" t="inlineStr">
        <is>
          <t>睾丸繩下拉</t>
        </is>
      </c>
      <c r="D5" s="407" t="n">
        <v>1</v>
      </c>
      <c r="E5" s="408" t="n">
        <v>6.25</v>
      </c>
      <c r="F5" s="408" t="n">
        <v>13</v>
      </c>
      <c r="G5" s="408" t="n">
        <v>2</v>
      </c>
      <c r="H5" s="409">
        <f>IF(OR(E5="",F5=""),"",E5*F5)</f>
        <v/>
      </c>
      <c r="I5" s="43" t="inlineStr">
        <is>
          <t>器械刻度確認為 kg；原始重量 6.25 kg；動作名稱照使用者原文。</t>
        </is>
      </c>
    </row>
    <row r="6">
      <c r="A6" s="403" t="n">
        <v>46238</v>
      </c>
      <c r="B6" s="34" t="inlineStr">
        <is>
          <t>重訓</t>
        </is>
      </c>
      <c r="C6" s="34" t="inlineStr">
        <is>
          <t>睾丸繩下拉</t>
        </is>
      </c>
      <c r="D6" s="410" t="n">
        <v>2</v>
      </c>
      <c r="E6" s="411" t="n">
        <v>6.25</v>
      </c>
      <c r="F6" s="411" t="n">
        <v>11</v>
      </c>
      <c r="G6" s="411" t="n">
        <v>1</v>
      </c>
      <c r="H6" s="412">
        <f>IF(OR(E6="",F6=""),"",E6*F6)</f>
        <v/>
      </c>
      <c r="I6" s="44" t="inlineStr">
        <is>
          <t>器械刻度確認為 kg；原始重量 6.25 kg；動作名稱照使用者原文。</t>
        </is>
      </c>
    </row>
    <row r="7">
      <c r="A7" s="403" t="n">
        <v>46238</v>
      </c>
      <c r="B7" s="34" t="inlineStr">
        <is>
          <t>重訓</t>
        </is>
      </c>
      <c r="C7" s="34" t="inlineStr">
        <is>
          <t>睾丸繩下拉</t>
        </is>
      </c>
      <c r="D7" s="410" t="n">
        <v>3</v>
      </c>
      <c r="E7" s="411" t="n">
        <v>6.25</v>
      </c>
      <c r="F7" s="411" t="n">
        <v>8</v>
      </c>
      <c r="G7" s="411" t="n">
        <v>1</v>
      </c>
      <c r="H7" s="412">
        <f>IF(OR(E7="",F7=""),"",E7*F7)</f>
        <v/>
      </c>
      <c r="I7" s="44" t="inlineStr">
        <is>
          <t>器械刻度確認為 kg；原始重量 6.25 kg；動作名稱照使用者原文。</t>
        </is>
      </c>
    </row>
    <row r="8">
      <c r="A8" s="403" t="n">
        <v>46238</v>
      </c>
      <c r="B8" s="34" t="inlineStr">
        <is>
          <t>重訓</t>
        </is>
      </c>
      <c r="C8" s="34" t="inlineStr">
        <is>
          <t>睾丸繩下拉</t>
        </is>
      </c>
      <c r="D8" s="410" t="n">
        <v>4</v>
      </c>
      <c r="E8" s="411" t="n">
        <v>6.25</v>
      </c>
      <c r="F8" s="411" t="n">
        <v>5</v>
      </c>
      <c r="G8" s="411" t="n">
        <v>1</v>
      </c>
      <c r="H8" s="412">
        <f>IF(OR(E8="",F8=""),"",E8*F8)</f>
        <v/>
      </c>
      <c r="I8" s="44" t="inlineStr">
        <is>
          <t>器械刻度確認為 kg；原始重量 6.25 kg；動作名稱照使用者原文。</t>
        </is>
      </c>
    </row>
    <row r="9">
      <c r="A9" s="403" t="n">
        <v>46238</v>
      </c>
      <c r="B9" s="34" t="inlineStr">
        <is>
          <t>重訓</t>
        </is>
      </c>
      <c r="C9" s="34" t="inlineStr">
        <is>
          <t>腿推舉</t>
        </is>
      </c>
      <c r="D9" s="410" t="n">
        <v>1</v>
      </c>
      <c r="E9" s="411" t="n">
        <v>40</v>
      </c>
      <c r="F9" s="411" t="n">
        <v>16</v>
      </c>
      <c r="G9" s="411" t="n">
        <v>3</v>
      </c>
      <c r="H9" s="412">
        <f>IF(OR(E9="",F9=""),"",E9*F9)</f>
        <v/>
      </c>
      <c r="I9" s="44" t="inlineStr">
        <is>
          <t>器械雙刻度確認：原回報 80 為 lb，同一插銷位置對應機台標示 40 kg；原回報剩餘 3 下（RIR 3），換算 RPE 7。</t>
        </is>
      </c>
    </row>
    <row r="10">
      <c r="A10" s="403" t="n">
        <v>46238</v>
      </c>
      <c r="B10" s="34" t="inlineStr">
        <is>
          <t>重訓</t>
        </is>
      </c>
      <c r="C10" s="34" t="inlineStr">
        <is>
          <t>腿推舉</t>
        </is>
      </c>
      <c r="D10" s="410" t="n">
        <v>2</v>
      </c>
      <c r="E10" s="411" t="n">
        <v>40</v>
      </c>
      <c r="F10" s="411" t="n">
        <v>18</v>
      </c>
      <c r="G10" s="411" t="n">
        <v>2</v>
      </c>
      <c r="H10" s="412">
        <f>IF(OR(E10="",F10=""),"",E10*F10)</f>
        <v/>
      </c>
      <c r="I10" s="44" t="inlineStr">
        <is>
          <t>器械雙刻度確認：原回報 80 為 lb，同一插銷位置對應機台標示 40 kg；原回報剩餘 2 下（RIR 2），換算 RPE 8。</t>
        </is>
      </c>
    </row>
    <row r="11">
      <c r="A11" s="403" t="n">
        <v>46238</v>
      </c>
      <c r="B11" s="34" t="inlineStr">
        <is>
          <t>重訓</t>
        </is>
      </c>
      <c r="C11" s="34" t="inlineStr">
        <is>
          <t>腿推舉</t>
        </is>
      </c>
      <c r="D11" s="410" t="n">
        <v>3</v>
      </c>
      <c r="E11" s="411" t="n">
        <v>40</v>
      </c>
      <c r="F11" s="411" t="n">
        <v>16</v>
      </c>
      <c r="G11" s="411" t="n">
        <v>1</v>
      </c>
      <c r="H11" s="412">
        <f>IF(OR(E11="",F11=""),"",E11*F11)</f>
        <v/>
      </c>
      <c r="I11" s="44" t="inlineStr">
        <is>
          <t>器械雙刻度確認：原回報 80 為 lb，同一插銷位置對應機台標示 40 kg；原回報剩餘 1 下（RIR 1），換算 RPE 9。</t>
        </is>
      </c>
    </row>
    <row r="12">
      <c r="A12" s="403" t="n">
        <v>46238</v>
      </c>
      <c r="B12" s="34" t="inlineStr">
        <is>
          <t>重訓</t>
        </is>
      </c>
      <c r="C12" s="34" t="inlineStr">
        <is>
          <t>腿推舉</t>
        </is>
      </c>
      <c r="D12" s="410" t="n">
        <v>4</v>
      </c>
      <c r="E12" s="411" t="n">
        <v>40</v>
      </c>
      <c r="F12" s="411" t="n">
        <v>16</v>
      </c>
      <c r="G12" s="411" t="n">
        <v>0</v>
      </c>
      <c r="H12" s="412">
        <f>IF(OR(E12="",F12=""),"",E12*F12)</f>
        <v/>
      </c>
      <c r="I12" s="44" t="inlineStr">
        <is>
          <t>器械雙刻度確認：原回報 80 為 lb，同一插銷位置對應機台標示 40 kg；原回報剩餘 0 下（RIR 0），換算 RPE 10。</t>
        </is>
      </c>
    </row>
    <row r="13">
      <c r="A13" s="403" t="n">
        <v>46238</v>
      </c>
      <c r="B13" s="34" t="inlineStr">
        <is>
          <t>重訓</t>
        </is>
      </c>
      <c r="C13" s="34" t="inlineStr">
        <is>
          <t>蝴蝶機夾胸</t>
        </is>
      </c>
      <c r="D13" s="410" t="n">
        <v>1</v>
      </c>
      <c r="E13" s="411" t="n">
        <v>25</v>
      </c>
      <c r="F13" s="411" t="n">
        <v>14</v>
      </c>
      <c r="G13" s="411" t="n">
        <v>0</v>
      </c>
      <c r="H13" s="412">
        <f>IF(OR(E13="",F13=""),"",E13*F13)</f>
        <v/>
      </c>
      <c r="I13" s="44" t="inlineStr">
        <is>
          <t>依照片辨識為坐姿胸推；原填 RPE 0 已更正為 RPE 10。</t>
        </is>
      </c>
    </row>
    <row r="14">
      <c r="A14" s="403" t="n">
        <v>46238</v>
      </c>
      <c r="B14" s="34" t="inlineStr">
        <is>
          <t>重訓</t>
        </is>
      </c>
      <c r="C14" s="34" t="inlineStr">
        <is>
          <t>蝴蝶機夾胸</t>
        </is>
      </c>
      <c r="D14" s="410" t="n">
        <v>2</v>
      </c>
      <c r="E14" s="411" t="n">
        <v>25</v>
      </c>
      <c r="F14" s="411" t="n">
        <v>9</v>
      </c>
      <c r="G14" s="411" t="n">
        <v>0</v>
      </c>
      <c r="H14" s="412">
        <f>IF(OR(E14="",F14=""),"",E14*F14)</f>
        <v/>
      </c>
      <c r="I14" s="44" t="inlineStr">
        <is>
          <t>依照片辨識為坐姿胸推；原填 RPE 0 已更正為 RPE 10。</t>
        </is>
      </c>
    </row>
    <row r="15">
      <c r="A15" s="403" t="n">
        <v>46238</v>
      </c>
      <c r="B15" s="34" t="inlineStr">
        <is>
          <t>重訓</t>
        </is>
      </c>
      <c r="C15" s="34" t="inlineStr">
        <is>
          <t>蝴蝶機夾胸</t>
        </is>
      </c>
      <c r="D15" s="410" t="n">
        <v>3</v>
      </c>
      <c r="E15" s="411" t="n">
        <v>20</v>
      </c>
      <c r="F15" s="411" t="n">
        <v>13</v>
      </c>
      <c r="G15" s="411" t="n">
        <v>0</v>
      </c>
      <c r="H15" s="412">
        <f>IF(OR(E15="",F15=""),"",E15*F15)</f>
        <v/>
      </c>
      <c r="I15" s="44" t="inlineStr">
        <is>
          <t>依照片辨識為坐姿胸推；原填 RPE 0 已更正為 RPE 10。</t>
        </is>
      </c>
    </row>
    <row r="16">
      <c r="A16" s="403" t="n">
        <v>46238</v>
      </c>
      <c r="B16" s="34" t="inlineStr">
        <is>
          <t>重訓</t>
        </is>
      </c>
      <c r="C16" s="34" t="inlineStr">
        <is>
          <t>蝴蝶機夾胸</t>
        </is>
      </c>
      <c r="D16" s="410" t="n">
        <v>4</v>
      </c>
      <c r="E16" s="411" t="n">
        <v>20</v>
      </c>
      <c r="F16" s="411" t="n">
        <v>10</v>
      </c>
      <c r="G16" s="411" t="n">
        <v>0</v>
      </c>
      <c r="H16" s="412">
        <f>IF(OR(E16="",F16=""),"",E16*F16)</f>
        <v/>
      </c>
      <c r="I16" s="44" t="inlineStr">
        <is>
          <t>依照片辨識為坐姿胸推；原填 RPE 0 已更正為 RPE 10。</t>
        </is>
      </c>
    </row>
    <row r="17">
      <c r="A17" s="403" t="n">
        <v>46238</v>
      </c>
      <c r="B17" s="34" t="inlineStr">
        <is>
          <t>重訓</t>
        </is>
      </c>
      <c r="C17" s="34" t="inlineStr">
        <is>
          <t>腿後勾</t>
        </is>
      </c>
      <c r="D17" s="410" t="n">
        <v>1</v>
      </c>
      <c r="E17" s="411" t="n">
        <v>32</v>
      </c>
      <c r="F17" s="411" t="n">
        <v>15</v>
      </c>
      <c r="G17" s="411" t="n">
        <v>5</v>
      </c>
      <c r="H17" s="412">
        <f>IF(OR(E17="",F17=""),"",E17*F17)</f>
        <v/>
      </c>
      <c r="I17" s="44" t="inlineStr">
        <is>
          <t>使用者確認為標準 RPE 5。</t>
        </is>
      </c>
    </row>
    <row r="18">
      <c r="A18" s="403" t="n">
        <v>46238</v>
      </c>
      <c r="B18" s="34" t="inlineStr">
        <is>
          <t>重訓</t>
        </is>
      </c>
      <c r="C18" s="34" t="inlineStr">
        <is>
          <t>腿後勾</t>
        </is>
      </c>
      <c r="D18" s="410" t="n">
        <v>2</v>
      </c>
      <c r="E18" s="411" t="n">
        <v>40</v>
      </c>
      <c r="F18" s="411" t="n">
        <v>15</v>
      </c>
      <c r="G18" s="411" t="n">
        <v>1</v>
      </c>
      <c r="H18" s="412">
        <f>IF(OR(E18="",F18=""),"",E18*F18)</f>
        <v/>
      </c>
      <c r="I18" s="44" t="str"/>
    </row>
    <row r="19">
      <c r="A19" s="403" t="n">
        <v>46238</v>
      </c>
      <c r="B19" s="34" t="inlineStr">
        <is>
          <t>重訓</t>
        </is>
      </c>
      <c r="C19" s="34" t="inlineStr">
        <is>
          <t>腿後勾</t>
        </is>
      </c>
      <c r="D19" s="410" t="n">
        <v>3</v>
      </c>
      <c r="E19" s="411" t="n">
        <v>40</v>
      </c>
      <c r="F19" s="411" t="n">
        <v>15</v>
      </c>
      <c r="G19" s="411" t="n">
        <v>0</v>
      </c>
      <c r="H19" s="412">
        <f>IF(OR(E19="",F19=""),"",E19*F19)</f>
        <v/>
      </c>
      <c r="I19" s="44" t="str"/>
    </row>
    <row r="20">
      <c r="A20" s="403" t="n">
        <v>46238</v>
      </c>
      <c r="B20" s="34" t="inlineStr">
        <is>
          <t>重訓</t>
        </is>
      </c>
      <c r="C20" s="34" t="inlineStr">
        <is>
          <t>腿後勾</t>
        </is>
      </c>
      <c r="D20" s="410" t="n">
        <v>4</v>
      </c>
      <c r="E20" s="411" t="n">
        <v>40</v>
      </c>
      <c r="F20" s="411" t="n">
        <v>17</v>
      </c>
      <c r="G20" s="411" t="n">
        <v>0</v>
      </c>
      <c r="H20" s="412">
        <f>IF(OR(E20="",F20=""),"",E20*F20)</f>
        <v/>
      </c>
      <c r="I20" s="44" t="inlineStr">
        <is>
          <t>原填 RPE 0，使用者更正為 RPE 10。</t>
        </is>
      </c>
    </row>
    <row r="21">
      <c r="A21" s="403" t="n">
        <v>46238</v>
      </c>
      <c r="B21" s="34" t="inlineStr">
        <is>
          <t>重訓</t>
        </is>
      </c>
      <c r="C21" s="34" t="inlineStr">
        <is>
          <t>腿後勾</t>
        </is>
      </c>
      <c r="D21" s="410" t="n">
        <v>5</v>
      </c>
      <c r="E21" s="411" t="n">
        <v>32</v>
      </c>
      <c r="F21" s="411" t="n">
        <v>20</v>
      </c>
      <c r="G21" s="411" t="n">
        <v>0</v>
      </c>
      <c r="H21" s="412">
        <f>IF(OR(E21="",F21=""),"",E21*F21)</f>
        <v/>
      </c>
      <c r="I21" s="44" t="n"/>
    </row>
    <row r="22">
      <c r="A22" s="403" t="n">
        <v>46242</v>
      </c>
      <c r="B22" s="34" t="inlineStr">
        <is>
          <t>重訓</t>
        </is>
      </c>
      <c r="C22" s="34" t="inlineStr">
        <is>
          <t>上斜胸推</t>
        </is>
      </c>
      <c r="D22" s="410" t="n">
        <v>1</v>
      </c>
      <c r="E22" s="411" t="n">
        <v>25</v>
      </c>
      <c r="F22" s="411" t="n">
        <v>15</v>
      </c>
      <c r="G22" s="411" t="n">
        <v>2</v>
      </c>
      <c r="H22" s="412">
        <f>E22*F22</f>
        <v/>
      </c>
      <c r="I22" s="44" t="n"/>
    </row>
    <row r="23">
      <c r="A23" s="403" t="n">
        <v>46242</v>
      </c>
      <c r="B23" s="34" t="inlineStr">
        <is>
          <t>重訓</t>
        </is>
      </c>
      <c r="C23" s="34" t="inlineStr">
        <is>
          <t>上斜胸推</t>
        </is>
      </c>
      <c r="D23" s="410" t="n">
        <v>2</v>
      </c>
      <c r="E23" s="411" t="n">
        <v>25</v>
      </c>
      <c r="F23" s="411" t="n">
        <v>14</v>
      </c>
      <c r="G23" s="411" t="n">
        <v>0</v>
      </c>
      <c r="H23" s="412">
        <f>E23*F23</f>
        <v/>
      </c>
      <c r="I23" s="44" t="n"/>
    </row>
    <row r="24">
      <c r="A24" s="403" t="n">
        <v>46242</v>
      </c>
      <c r="B24" s="34" t="inlineStr">
        <is>
          <t>重訓</t>
        </is>
      </c>
      <c r="C24" s="34" t="inlineStr">
        <is>
          <t>上斜胸推</t>
        </is>
      </c>
      <c r="D24" s="410" t="n">
        <v>3</v>
      </c>
      <c r="E24" s="411" t="n">
        <v>25</v>
      </c>
      <c r="F24" s="411" t="n">
        <v>10</v>
      </c>
      <c r="G24" s="411" t="n">
        <v>0</v>
      </c>
      <c r="H24" s="412">
        <f>E24*F24</f>
        <v/>
      </c>
      <c r="I24" s="44" t="n"/>
    </row>
    <row r="25">
      <c r="A25" s="403" t="n">
        <v>46242</v>
      </c>
      <c r="B25" s="34" t="inlineStr">
        <is>
          <t>重訓</t>
        </is>
      </c>
      <c r="C25" s="34" t="inlineStr">
        <is>
          <t>上斜胸推</t>
        </is>
      </c>
      <c r="D25" s="410" t="n">
        <v>4</v>
      </c>
      <c r="E25" s="411" t="n">
        <v>20</v>
      </c>
      <c r="F25" s="411" t="n">
        <v>10</v>
      </c>
      <c r="G25" s="411" t="n">
        <v>0</v>
      </c>
      <c r="H25" s="412">
        <f>E25*F25</f>
        <v/>
      </c>
      <c r="I25" s="44" t="n"/>
    </row>
    <row r="26">
      <c r="A26" s="403" t="n">
        <v>46242</v>
      </c>
      <c r="B26" s="34" t="inlineStr">
        <is>
          <t>重訓</t>
        </is>
      </c>
      <c r="C26" s="34" t="inlineStr">
        <is>
          <t>臀推機</t>
        </is>
      </c>
      <c r="D26" s="410" t="n">
        <v>1</v>
      </c>
      <c r="E26" s="411" t="n">
        <v>20</v>
      </c>
      <c r="F26" s="411" t="n">
        <v>13</v>
      </c>
      <c r="G26" s="411" t="n">
        <v>6</v>
      </c>
      <c r="H26" s="412">
        <f>E26*F26</f>
        <v/>
      </c>
      <c r="I26" s="44" t="n"/>
    </row>
    <row r="27">
      <c r="A27" s="403" t="n">
        <v>46242</v>
      </c>
      <c r="B27" s="34" t="inlineStr">
        <is>
          <t>重訓</t>
        </is>
      </c>
      <c r="C27" s="34" t="inlineStr">
        <is>
          <t>臀推機</t>
        </is>
      </c>
      <c r="D27" s="410" t="n">
        <v>2</v>
      </c>
      <c r="E27" s="411" t="n">
        <v>20</v>
      </c>
      <c r="F27" s="411" t="n">
        <v>15</v>
      </c>
      <c r="G27" s="411" t="n">
        <v>2</v>
      </c>
      <c r="H27" s="412">
        <f>E27*F27</f>
        <v/>
      </c>
      <c r="I27" s="44" t="n"/>
    </row>
    <row r="28">
      <c r="A28" s="403" t="n">
        <v>46242</v>
      </c>
      <c r="B28" s="34" t="inlineStr">
        <is>
          <t>重訓</t>
        </is>
      </c>
      <c r="C28" s="34" t="inlineStr">
        <is>
          <t>臀推機</t>
        </is>
      </c>
      <c r="D28" s="410" t="n">
        <v>3</v>
      </c>
      <c r="E28" s="411" t="n">
        <v>20</v>
      </c>
      <c r="F28" s="411" t="n">
        <v>15</v>
      </c>
      <c r="G28" s="411" t="n">
        <v>2</v>
      </c>
      <c r="H28" s="412">
        <f>E28*F28</f>
        <v/>
      </c>
      <c r="I28" s="44" t="n"/>
    </row>
    <row r="29">
      <c r="A29" s="403" t="n">
        <v>46242</v>
      </c>
      <c r="B29" s="34" t="inlineStr">
        <is>
          <t>重訓</t>
        </is>
      </c>
      <c r="C29" s="34" t="inlineStr">
        <is>
          <t>臀推機</t>
        </is>
      </c>
      <c r="D29" s="410" t="n">
        <v>4</v>
      </c>
      <c r="E29" s="411" t="n">
        <v>20</v>
      </c>
      <c r="F29" s="411" t="n">
        <v>15</v>
      </c>
      <c r="G29" s="411" t="n">
        <v>1</v>
      </c>
      <c r="H29" s="412">
        <f>E29*F29</f>
        <v/>
      </c>
      <c r="I29" s="44" t="n"/>
    </row>
    <row r="30">
      <c r="A30" s="403" t="n">
        <v>46242</v>
      </c>
      <c r="B30" s="34" t="inlineStr">
        <is>
          <t>重訓</t>
        </is>
      </c>
      <c r="C30" s="34" t="inlineStr">
        <is>
          <t>滑輪下拉</t>
        </is>
      </c>
      <c r="D30" s="410" t="n">
        <v>1</v>
      </c>
      <c r="E30" s="411" t="n">
        <v>37.5</v>
      </c>
      <c r="F30" s="411" t="n">
        <v>15</v>
      </c>
      <c r="G30" s="411" t="n">
        <v>3</v>
      </c>
      <c r="H30" s="412">
        <f>E30*F30</f>
        <v/>
      </c>
      <c r="I30" s="44" t="n"/>
    </row>
    <row r="31">
      <c r="A31" s="403" t="n">
        <v>46242</v>
      </c>
      <c r="B31" s="34" t="inlineStr">
        <is>
          <t>重訓</t>
        </is>
      </c>
      <c r="C31" s="34" t="inlineStr">
        <is>
          <t>滑輪下拉</t>
        </is>
      </c>
      <c r="D31" s="410" t="n">
        <v>2</v>
      </c>
      <c r="E31" s="411" t="n">
        <v>37.5</v>
      </c>
      <c r="F31" s="411" t="n">
        <v>12</v>
      </c>
      <c r="G31" s="411" t="n">
        <v>0</v>
      </c>
      <c r="H31" s="412">
        <f>E31*F31</f>
        <v/>
      </c>
      <c r="I31" s="44" t="n"/>
    </row>
    <row r="32">
      <c r="A32" s="403" t="n">
        <v>46242</v>
      </c>
      <c r="B32" s="34" t="inlineStr">
        <is>
          <t>重訓</t>
        </is>
      </c>
      <c r="C32" s="34" t="inlineStr">
        <is>
          <t>滑輪下拉</t>
        </is>
      </c>
      <c r="D32" s="410" t="n">
        <v>3</v>
      </c>
      <c r="E32" s="411" t="n">
        <v>30</v>
      </c>
      <c r="F32" s="411" t="n">
        <v>16</v>
      </c>
      <c r="G32" s="411" t="n">
        <v>2</v>
      </c>
      <c r="H32" s="412">
        <f>E32*F32</f>
        <v/>
      </c>
      <c r="I32" s="44" t="n"/>
    </row>
    <row r="33">
      <c r="A33" s="403" t="n">
        <v>46242</v>
      </c>
      <c r="B33" s="34" t="inlineStr">
        <is>
          <t>重訓</t>
        </is>
      </c>
      <c r="C33" s="34" t="inlineStr">
        <is>
          <t>滑輪下拉</t>
        </is>
      </c>
      <c r="D33" s="410" t="n">
        <v>4</v>
      </c>
      <c r="E33" s="411" t="n">
        <v>30</v>
      </c>
      <c r="F33" s="411" t="n">
        <v>14</v>
      </c>
      <c r="G33" s="411" t="n">
        <v>1</v>
      </c>
      <c r="H33" s="412">
        <f>E33*F33</f>
        <v/>
      </c>
      <c r="I33" s="44" t="n"/>
    </row>
    <row r="34">
      <c r="A34" s="403" t="n">
        <v>46242</v>
      </c>
      <c r="B34" s="34" t="inlineStr">
        <is>
          <t>重訓</t>
        </is>
      </c>
      <c r="C34" s="34" t="inlineStr">
        <is>
          <t>腿內收</t>
        </is>
      </c>
      <c r="D34" s="410" t="n">
        <v>1</v>
      </c>
      <c r="E34" s="411" t="n">
        <v>37.5</v>
      </c>
      <c r="F34" s="411" t="n">
        <v>13</v>
      </c>
      <c r="G34" s="411" t="n">
        <v>3</v>
      </c>
      <c r="H34" s="412">
        <f>E34*F34</f>
        <v/>
      </c>
      <c r="I34" s="44" t="n"/>
    </row>
    <row r="35">
      <c r="A35" s="403" t="n">
        <v>46242</v>
      </c>
      <c r="B35" s="34" t="inlineStr">
        <is>
          <t>重訓</t>
        </is>
      </c>
      <c r="C35" s="34" t="inlineStr">
        <is>
          <t>腿內收</t>
        </is>
      </c>
      <c r="D35" s="410" t="n">
        <v>2</v>
      </c>
      <c r="E35" s="411" t="n">
        <v>37.5</v>
      </c>
      <c r="F35" s="411" t="n">
        <v>13</v>
      </c>
      <c r="G35" s="411" t="n">
        <v>3</v>
      </c>
      <c r="H35" s="412">
        <f>E35*F35</f>
        <v/>
      </c>
      <c r="I35" s="44" t="n"/>
    </row>
    <row r="36">
      <c r="A36" s="403" t="n">
        <v>46242</v>
      </c>
      <c r="B36" s="34" t="inlineStr">
        <is>
          <t>重訓</t>
        </is>
      </c>
      <c r="C36" s="34" t="inlineStr">
        <is>
          <t>腿外展</t>
        </is>
      </c>
      <c r="D36" s="410" t="n">
        <v>1</v>
      </c>
      <c r="E36" s="411" t="n">
        <v>52.5</v>
      </c>
      <c r="F36" s="411" t="n">
        <v>10</v>
      </c>
      <c r="G36" s="411" t="n">
        <v>4</v>
      </c>
      <c r="H36" s="412">
        <f>E36*F36</f>
        <v/>
      </c>
      <c r="I36" s="44" t="n"/>
    </row>
    <row r="37">
      <c r="A37" s="403" t="n">
        <v>46242</v>
      </c>
      <c r="B37" s="34" t="inlineStr">
        <is>
          <t>重訓</t>
        </is>
      </c>
      <c r="C37" s="34" t="inlineStr">
        <is>
          <t>腿外展</t>
        </is>
      </c>
      <c r="D37" s="410" t="n">
        <v>2</v>
      </c>
      <c r="E37" s="411" t="n">
        <v>52.5</v>
      </c>
      <c r="F37" s="411" t="n">
        <v>13</v>
      </c>
      <c r="G37" s="411" t="n">
        <v>2</v>
      </c>
      <c r="H37" s="412">
        <f>E37*F37</f>
        <v/>
      </c>
      <c r="I37" s="44" t="n"/>
    </row>
    <row r="38">
      <c r="A38" s="403" t="n">
        <v>46245</v>
      </c>
      <c r="B38" s="34" t="inlineStr">
        <is>
          <t>重訓</t>
        </is>
      </c>
      <c r="C38" s="34" t="inlineStr">
        <is>
          <t>羅馬尼亞蹲</t>
        </is>
      </c>
      <c r="D38" s="410" t="n">
        <v>1</v>
      </c>
      <c r="E38" s="411" t="n">
        <v>0</v>
      </c>
      <c r="F38" s="411" t="n">
        <v>13</v>
      </c>
      <c r="G38" s="411" t="n">
        <v>5</v>
      </c>
      <c r="H38" s="412">
        <f>IF(OR(E38="",F38=""),"",E38*F38)</f>
        <v/>
      </c>
      <c r="I38" s="44" t="inlineStr">
        <is>
          <t>自重；使用者回報 DBR 5，未視為 RPE。</t>
        </is>
      </c>
    </row>
    <row r="39">
      <c r="A39" s="403" t="n">
        <v>46245</v>
      </c>
      <c r="B39" s="34" t="inlineStr">
        <is>
          <t>重訓</t>
        </is>
      </c>
      <c r="C39" s="34" t="inlineStr">
        <is>
          <t>羅馬尼亞蹲</t>
        </is>
      </c>
      <c r="D39" s="410" t="n">
        <v>2</v>
      </c>
      <c r="E39" s="411" t="n">
        <v>0</v>
      </c>
      <c r="F39" s="411" t="n">
        <v>15</v>
      </c>
      <c r="G39" s="411" t="n">
        <v>3</v>
      </c>
      <c r="H39" s="412">
        <f>IF(OR(E39="",F39=""),"",E39*F39)</f>
        <v/>
      </c>
      <c r="I39" s="44" t="inlineStr">
        <is>
          <t>自重；使用者回報 DBR 3，未視為 RPE。</t>
        </is>
      </c>
    </row>
    <row r="40">
      <c r="A40" s="403" t="n">
        <v>46245</v>
      </c>
      <c r="B40" s="34" t="inlineStr">
        <is>
          <t>重訓</t>
        </is>
      </c>
      <c r="C40" s="34" t="inlineStr">
        <is>
          <t>羅馬尼亞蹲</t>
        </is>
      </c>
      <c r="D40" s="410" t="n">
        <v>3</v>
      </c>
      <c r="E40" s="411" t="n">
        <v>5</v>
      </c>
      <c r="F40" s="411" t="n">
        <v>13</v>
      </c>
      <c r="G40" s="411" t="n">
        <v>2</v>
      </c>
      <c r="H40" s="412">
        <f>IF(OR(E40="",F40=""),"",E40*F40)</f>
        <v/>
      </c>
      <c r="I40" s="44" t="inlineStr">
        <is>
          <t>額外加重 5 kg；使用者回報 DBR 2，未視為 RPE。</t>
        </is>
      </c>
    </row>
    <row r="41">
      <c r="A41" s="403" t="n">
        <v>46245</v>
      </c>
      <c r="B41" s="34" t="inlineStr">
        <is>
          <t>重訓</t>
        </is>
      </c>
      <c r="C41" s="34" t="inlineStr">
        <is>
          <t>羅馬尼亞蹲</t>
        </is>
      </c>
      <c r="D41" s="410" t="n">
        <v>4</v>
      </c>
      <c r="E41" s="411" t="n">
        <v>5</v>
      </c>
      <c r="F41" s="411" t="n">
        <v>14</v>
      </c>
      <c r="G41" s="411" t="n">
        <v>2</v>
      </c>
      <c r="H41" s="412">
        <f>IF(OR(E41="",F41=""),"",E41*F41)</f>
        <v/>
      </c>
      <c r="I41" s="44" t="inlineStr">
        <is>
          <t>額外加重 5 kg；使用者回報 DBR 2，未視為 RPE。</t>
        </is>
      </c>
    </row>
    <row r="42">
      <c r="A42" s="403" t="n">
        <v>46245</v>
      </c>
      <c r="B42" s="34" t="inlineStr">
        <is>
          <t>重訓</t>
        </is>
      </c>
      <c r="C42" s="34" t="inlineStr">
        <is>
          <t>划船</t>
        </is>
      </c>
      <c r="D42" s="410" t="n">
        <v>1</v>
      </c>
      <c r="E42" s="411" t="n">
        <v>22.5</v>
      </c>
      <c r="F42" s="411" t="n">
        <v>15</v>
      </c>
      <c r="G42" s="411" t="n">
        <v>5</v>
      </c>
      <c r="H42" s="412">
        <f>IF(OR(E42="",F42=""),"",E42*F42)</f>
        <v/>
      </c>
      <c r="I42" s="44" t="inlineStr">
        <is>
          <t>DBR 5</t>
        </is>
      </c>
    </row>
    <row r="43">
      <c r="A43" s="403" t="n">
        <v>46245</v>
      </c>
      <c r="B43" s="34" t="inlineStr">
        <is>
          <t>重訓</t>
        </is>
      </c>
      <c r="C43" s="34" t="inlineStr">
        <is>
          <t>划船</t>
        </is>
      </c>
      <c r="D43" s="410" t="n">
        <v>2</v>
      </c>
      <c r="E43" s="411" t="n">
        <v>30</v>
      </c>
      <c r="F43" s="411" t="n">
        <v>13</v>
      </c>
      <c r="G43" s="411" t="n">
        <v>5</v>
      </c>
      <c r="H43" s="412">
        <f>IF(OR(E43="",F43=""),"",E43*F43)</f>
        <v/>
      </c>
      <c r="I43" s="44" t="inlineStr">
        <is>
          <t>DBR 5</t>
        </is>
      </c>
    </row>
    <row r="44">
      <c r="A44" s="403" t="n">
        <v>46245</v>
      </c>
      <c r="B44" s="34" t="inlineStr">
        <is>
          <t>重訓</t>
        </is>
      </c>
      <c r="C44" s="34" t="inlineStr">
        <is>
          <t>划船</t>
        </is>
      </c>
      <c r="D44" s="410" t="n">
        <v>3</v>
      </c>
      <c r="E44" s="411" t="n">
        <v>30</v>
      </c>
      <c r="F44" s="411" t="n">
        <v>16</v>
      </c>
      <c r="G44" s="411" t="n">
        <v>2</v>
      </c>
      <c r="H44" s="412">
        <f>IF(OR(E44="",F44=""),"",E44*F44)</f>
        <v/>
      </c>
      <c r="I44" s="44" t="inlineStr">
        <is>
          <t>DBR 2</t>
        </is>
      </c>
    </row>
    <row r="45">
      <c r="A45" s="403" t="n">
        <v>46245</v>
      </c>
      <c r="B45" s="34" t="inlineStr">
        <is>
          <t>重訓</t>
        </is>
      </c>
      <c r="C45" s="34" t="inlineStr">
        <is>
          <t>划船</t>
        </is>
      </c>
      <c r="D45" s="410" t="n">
        <v>4</v>
      </c>
      <c r="E45" s="411" t="n">
        <v>30</v>
      </c>
      <c r="F45" s="411" t="n">
        <v>13</v>
      </c>
      <c r="G45" s="411" t="n">
        <v>1</v>
      </c>
      <c r="H45" s="412">
        <f>IF(OR(E45="",F45=""),"",E45*F45)</f>
        <v/>
      </c>
      <c r="I45" s="44" t="inlineStr">
        <is>
          <t>DBR 1</t>
        </is>
      </c>
    </row>
    <row r="46">
      <c r="A46" s="403" t="n">
        <v>46245</v>
      </c>
      <c r="B46" s="34" t="inlineStr">
        <is>
          <t>重訓</t>
        </is>
      </c>
      <c r="C46" s="34" t="inlineStr">
        <is>
          <t>划船</t>
        </is>
      </c>
      <c r="D46" s="410" t="n">
        <v>5</v>
      </c>
      <c r="E46" s="411" t="n">
        <v>30</v>
      </c>
      <c r="F46" s="411" t="n">
        <v>11</v>
      </c>
      <c r="G46" s="411" t="n">
        <v>0</v>
      </c>
      <c r="H46" s="412">
        <f>IF(OR(E46="",F46=""),"",E46*F46)</f>
        <v/>
      </c>
      <c r="I46" s="44" t="inlineStr">
        <is>
          <t>DBR 0</t>
        </is>
      </c>
    </row>
    <row r="47">
      <c r="A47" s="403" t="n">
        <v>46245</v>
      </c>
      <c r="B47" s="34" t="inlineStr">
        <is>
          <t>重訓</t>
        </is>
      </c>
      <c r="C47" s="34" t="inlineStr">
        <is>
          <t>臀推機</t>
        </is>
      </c>
      <c r="D47" s="410" t="n">
        <v>1</v>
      </c>
      <c r="E47" s="411" t="n">
        <v>20</v>
      </c>
      <c r="F47" s="411" t="n">
        <v>15</v>
      </c>
      <c r="G47" s="411" t="n">
        <v>5</v>
      </c>
      <c r="H47" s="412">
        <f>IF(OR(E47="",F47=""),"",E47*F47)</f>
        <v/>
      </c>
      <c r="I47" s="44" t="inlineStr">
        <is>
          <t>DBR 5</t>
        </is>
      </c>
    </row>
    <row r="48">
      <c r="A48" s="403" t="n">
        <v>46245</v>
      </c>
      <c r="B48" s="34" t="inlineStr">
        <is>
          <t>重訓</t>
        </is>
      </c>
      <c r="C48" s="34" t="inlineStr">
        <is>
          <t>臀推機</t>
        </is>
      </c>
      <c r="D48" s="410" t="n">
        <v>2</v>
      </c>
      <c r="E48" s="411" t="n">
        <v>20</v>
      </c>
      <c r="F48" s="411" t="n">
        <v>20</v>
      </c>
      <c r="G48" s="411" t="n">
        <v>3</v>
      </c>
      <c r="H48" s="412">
        <f>IF(OR(E48="",F48=""),"",E48*F48)</f>
        <v/>
      </c>
      <c r="I48" s="44" t="inlineStr">
        <is>
          <t>DBR 3</t>
        </is>
      </c>
    </row>
    <row r="49">
      <c r="A49" s="403" t="n">
        <v>46245</v>
      </c>
      <c r="B49" s="34" t="inlineStr">
        <is>
          <t>重訓</t>
        </is>
      </c>
      <c r="C49" s="34" t="inlineStr">
        <is>
          <t>臀推機</t>
        </is>
      </c>
      <c r="D49" s="410" t="n">
        <v>3</v>
      </c>
      <c r="E49" s="411" t="n">
        <v>20</v>
      </c>
      <c r="F49" s="411" t="n">
        <v>16</v>
      </c>
      <c r="G49" s="411" t="n">
        <v>2</v>
      </c>
      <c r="H49" s="412">
        <f>IF(OR(E49="",F49=""),"",E49*F49)</f>
        <v/>
      </c>
      <c r="I49" s="44" t="inlineStr">
        <is>
          <t>DBR 2</t>
        </is>
      </c>
    </row>
    <row r="50">
      <c r="A50" s="403" t="n">
        <v>46245</v>
      </c>
      <c r="B50" s="34" t="inlineStr">
        <is>
          <t>重訓</t>
        </is>
      </c>
      <c r="C50" s="34" t="inlineStr">
        <is>
          <t>臀推機</t>
        </is>
      </c>
      <c r="D50" s="410" t="n">
        <v>4</v>
      </c>
      <c r="E50" s="411" t="n">
        <v>20</v>
      </c>
      <c r="F50" s="411" t="n">
        <v>15</v>
      </c>
      <c r="G50" s="411" t="n">
        <v>1</v>
      </c>
      <c r="H50" s="412">
        <f>IF(OR(E50="",F50=""),"",E50*F50)</f>
        <v/>
      </c>
      <c r="I50" s="44" t="inlineStr">
        <is>
          <t>DBR 1</t>
        </is>
      </c>
    </row>
    <row r="51">
      <c r="A51" s="403" t="n">
        <v>46245</v>
      </c>
      <c r="B51" s="34" t="inlineStr">
        <is>
          <t>重訓</t>
        </is>
      </c>
      <c r="C51" s="34" t="inlineStr">
        <is>
          <t>啞鈴側平舉</t>
        </is>
      </c>
      <c r="D51" s="410" t="n">
        <v>1</v>
      </c>
      <c r="E51" s="411" t="n">
        <v>10</v>
      </c>
      <c r="F51" s="411" t="n">
        <v>15</v>
      </c>
      <c r="G51" s="411" t="n">
        <v>3</v>
      </c>
      <c r="H51" s="412">
        <f>IF(OR(E51="",F51=""),"",E51*F51)</f>
        <v/>
      </c>
      <c r="I51" s="44" t="inlineStr">
        <is>
          <t>DBR 3</t>
        </is>
      </c>
    </row>
    <row r="52">
      <c r="A52" s="403" t="n">
        <v>46245</v>
      </c>
      <c r="B52" s="34" t="inlineStr">
        <is>
          <t>重訓</t>
        </is>
      </c>
      <c r="C52" s="34" t="inlineStr">
        <is>
          <t>啞鈴側平舉</t>
        </is>
      </c>
      <c r="D52" s="410" t="n">
        <v>2</v>
      </c>
      <c r="E52" s="411" t="n">
        <v>10</v>
      </c>
      <c r="F52" s="411" t="n">
        <v>17</v>
      </c>
      <c r="G52" s="411" t="n">
        <v>1</v>
      </c>
      <c r="H52" s="412">
        <f>IF(OR(E52="",F52=""),"",E52*F52)</f>
        <v/>
      </c>
      <c r="I52" s="44" t="inlineStr">
        <is>
          <t>DBR 1</t>
        </is>
      </c>
    </row>
    <row r="53">
      <c r="A53" s="403" t="n">
        <v>46245</v>
      </c>
      <c r="B53" s="34" t="inlineStr">
        <is>
          <t>重訓</t>
        </is>
      </c>
      <c r="C53" s="34" t="inlineStr">
        <is>
          <t>啞鈴側平舉</t>
        </is>
      </c>
      <c r="D53" s="410" t="n">
        <v>3</v>
      </c>
      <c r="E53" s="411" t="n">
        <v>10</v>
      </c>
      <c r="F53" s="411" t="n">
        <v>14</v>
      </c>
      <c r="G53" s="411" t="n">
        <v>0</v>
      </c>
      <c r="H53" s="412">
        <f>IF(OR(E53="",F53=""),"",E53*F53)</f>
        <v/>
      </c>
      <c r="I53" s="44" t="inlineStr">
        <is>
          <t>DBR 0</t>
        </is>
      </c>
    </row>
    <row r="54">
      <c r="A54" s="403" t="n">
        <v>46245</v>
      </c>
      <c r="B54" s="34" t="inlineStr">
        <is>
          <t>重訓</t>
        </is>
      </c>
      <c r="C54" s="34" t="inlineStr">
        <is>
          <t>啞鈴側平舉</t>
        </is>
      </c>
      <c r="D54" s="410" t="n">
        <v>4</v>
      </c>
      <c r="E54" s="411" t="n">
        <v>10</v>
      </c>
      <c r="F54" s="411" t="n">
        <v>14</v>
      </c>
      <c r="G54" s="411" t="n">
        <v>0</v>
      </c>
      <c r="H54" s="412">
        <f>IF(OR(E54="",F54=""),"",E54*F54)</f>
        <v/>
      </c>
      <c r="I54" s="44" t="inlineStr">
        <is>
          <t>DBR 0</t>
        </is>
      </c>
    </row>
    <row r="55">
      <c r="A55" s="403" t="n">
        <v>46246</v>
      </c>
      <c r="B55" s="34" t="inlineStr">
        <is>
          <t>重訓</t>
        </is>
      </c>
      <c r="C55" s="34" t="inlineStr">
        <is>
          <t>蝴蝶機夾胸</t>
        </is>
      </c>
      <c r="D55" s="410" t="n">
        <v>1</v>
      </c>
      <c r="E55" s="411" t="n">
        <v>25</v>
      </c>
      <c r="F55" s="411" t="n">
        <v>15</v>
      </c>
      <c r="G55" s="411" t="n">
        <v>3</v>
      </c>
      <c r="H55" s="412">
        <f>IF(OR(E55="",F55=""),"",E55*F55)</f>
        <v/>
      </c>
      <c r="I55" s="44" t="inlineStr">
        <is>
          <t>DBR 3</t>
        </is>
      </c>
    </row>
    <row r="56">
      <c r="A56" s="403" t="n">
        <v>46246</v>
      </c>
      <c r="B56" s="34" t="inlineStr">
        <is>
          <t>重訓</t>
        </is>
      </c>
      <c r="C56" s="34" t="inlineStr">
        <is>
          <t>蝴蝶機夾胸</t>
        </is>
      </c>
      <c r="D56" s="410" t="n">
        <v>2</v>
      </c>
      <c r="E56" s="411" t="n">
        <v>20</v>
      </c>
      <c r="F56" s="411" t="n">
        <v>15</v>
      </c>
      <c r="G56" s="411" t="n">
        <v>0</v>
      </c>
      <c r="H56" s="412">
        <f>IF(OR(E56="",F56=""),"",E56*F56)</f>
        <v/>
      </c>
      <c r="I56" s="44" t="inlineStr">
        <is>
          <t>DBR 0</t>
        </is>
      </c>
    </row>
    <row r="57">
      <c r="A57" s="403" t="n">
        <v>46246</v>
      </c>
      <c r="B57" s="34" t="inlineStr">
        <is>
          <t>重訓</t>
        </is>
      </c>
      <c r="C57" s="34" t="inlineStr">
        <is>
          <t>蝴蝶機夾胸</t>
        </is>
      </c>
      <c r="D57" s="410" t="n">
        <v>3</v>
      </c>
      <c r="E57" s="411" t="n">
        <v>25</v>
      </c>
      <c r="F57" s="411" t="n">
        <v>7</v>
      </c>
      <c r="G57" s="411" t="n">
        <v>0</v>
      </c>
      <c r="H57" s="412">
        <f>IF(OR(E57="",F57=""),"",E57*F57)</f>
        <v/>
      </c>
      <c r="I57" s="44" t="inlineStr">
        <is>
          <t>DBR 0</t>
        </is>
      </c>
    </row>
    <row r="58">
      <c r="A58" s="403" t="n">
        <v>46246</v>
      </c>
      <c r="B58" s="34" t="inlineStr">
        <is>
          <t>重訓</t>
        </is>
      </c>
      <c r="C58" s="34" t="inlineStr">
        <is>
          <t>蝴蝶機夾胸</t>
        </is>
      </c>
      <c r="D58" s="410" t="n">
        <v>4</v>
      </c>
      <c r="E58" s="411" t="n">
        <v>20</v>
      </c>
      <c r="F58" s="411" t="n">
        <v>13</v>
      </c>
      <c r="G58" s="411" t="n">
        <v>0</v>
      </c>
      <c r="H58" s="412">
        <f>IF(OR(E58="",F58=""),"",E58*F58)</f>
        <v/>
      </c>
      <c r="I58" s="44" t="inlineStr">
        <is>
          <t>DBR 0</t>
        </is>
      </c>
    </row>
    <row r="59">
      <c r="A59" s="403" t="n">
        <v>46246</v>
      </c>
      <c r="B59" s="34" t="inlineStr">
        <is>
          <t>重訓</t>
        </is>
      </c>
      <c r="C59" s="34" t="inlineStr">
        <is>
          <t>睾丸繩下拉</t>
        </is>
      </c>
      <c r="D59" s="410" t="n">
        <v>1</v>
      </c>
      <c r="E59" s="411" t="n">
        <v>8.75</v>
      </c>
      <c r="F59" s="411" t="n">
        <v>20</v>
      </c>
      <c r="G59" s="411" t="n">
        <v>0</v>
      </c>
      <c r="H59" s="412">
        <f>IF(OR(E59="",F59=""),"",E59*F59)</f>
        <v/>
      </c>
      <c r="I59" s="44" t="inlineStr">
        <is>
          <t>器械刻度確認為 kg；DBR 0</t>
        </is>
      </c>
    </row>
    <row r="60">
      <c r="A60" s="403" t="n">
        <v>46246</v>
      </c>
      <c r="B60" s="34" t="inlineStr">
        <is>
          <t>重訓</t>
        </is>
      </c>
      <c r="C60" s="34" t="inlineStr">
        <is>
          <t>睾丸繩下拉</t>
        </is>
      </c>
      <c r="D60" s="410" t="n">
        <v>2</v>
      </c>
      <c r="E60" s="411" t="n">
        <v>11.25</v>
      </c>
      <c r="F60" s="411" t="n">
        <v>12</v>
      </c>
      <c r="G60" s="411" t="n">
        <v>0</v>
      </c>
      <c r="H60" s="412">
        <f>IF(OR(E60="",F60=""),"",E60*F60)</f>
        <v/>
      </c>
      <c r="I60" s="44" t="inlineStr">
        <is>
          <t>器械刻度確認為 kg；DBR 0</t>
        </is>
      </c>
    </row>
    <row r="61">
      <c r="A61" s="403" t="n">
        <v>46246</v>
      </c>
      <c r="B61" s="34" t="inlineStr">
        <is>
          <t>重訓</t>
        </is>
      </c>
      <c r="C61" s="34" t="inlineStr">
        <is>
          <t>睾丸繩下拉</t>
        </is>
      </c>
      <c r="D61" s="410" t="n">
        <v>3</v>
      </c>
      <c r="E61" s="411" t="n">
        <v>8.75</v>
      </c>
      <c r="F61" s="411" t="n">
        <v>7</v>
      </c>
      <c r="G61" s="411" t="n">
        <v>0</v>
      </c>
      <c r="H61" s="412">
        <f>IF(OR(E61="",F61=""),"",E61*F61)</f>
        <v/>
      </c>
      <c r="I61" s="44" t="inlineStr">
        <is>
          <t>器械刻度確認為 kg；DBR 0</t>
        </is>
      </c>
    </row>
    <row r="62">
      <c r="A62" s="403" t="n">
        <v>46246</v>
      </c>
      <c r="B62" s="34" t="inlineStr">
        <is>
          <t>重訓</t>
        </is>
      </c>
      <c r="C62" s="34" t="inlineStr">
        <is>
          <t>睾丸繩下拉</t>
        </is>
      </c>
      <c r="D62" s="410" t="n">
        <v>4</v>
      </c>
      <c r="E62" s="411" t="n">
        <v>6.25</v>
      </c>
      <c r="F62" s="411" t="n">
        <v>16</v>
      </c>
      <c r="G62" s="411" t="n">
        <v>0</v>
      </c>
      <c r="H62" s="412">
        <f>IF(OR(E62="",F62=""),"",E62*F62)</f>
        <v/>
      </c>
      <c r="I62" s="44" t="inlineStr">
        <is>
          <t>器械刻度確認為 kg；DBR 0</t>
        </is>
      </c>
    </row>
    <row r="63">
      <c r="A63" s="403" t="n">
        <v>46246</v>
      </c>
      <c r="B63" s="34" t="inlineStr">
        <is>
          <t>重訓</t>
        </is>
      </c>
      <c r="C63" s="34" t="inlineStr">
        <is>
          <t>羅馬尼亞蹲</t>
        </is>
      </c>
      <c r="D63" s="410" t="n">
        <v>1</v>
      </c>
      <c r="E63" s="411" t="n">
        <v>0</v>
      </c>
      <c r="F63" s="411" t="n">
        <v>15</v>
      </c>
      <c r="G63" s="411" t="n">
        <v>3</v>
      </c>
      <c r="H63" s="412">
        <f>IF(OR(E63="",F63=""),"",E63*F63)</f>
        <v/>
      </c>
      <c r="I63" s="44" t="inlineStr">
        <is>
          <t>左腳；自重；DBR 3</t>
        </is>
      </c>
    </row>
    <row r="64">
      <c r="A64" s="403" t="n">
        <v>46246</v>
      </c>
      <c r="B64" s="34" t="inlineStr">
        <is>
          <t>重訓</t>
        </is>
      </c>
      <c r="C64" s="34" t="inlineStr">
        <is>
          <t>羅馬尼亞蹲</t>
        </is>
      </c>
      <c r="D64" s="410" t="n">
        <v>2</v>
      </c>
      <c r="E64" s="411" t="n">
        <v>0</v>
      </c>
      <c r="F64" s="411" t="n">
        <v>15</v>
      </c>
      <c r="G64" s="411" t="n">
        <v>3</v>
      </c>
      <c r="H64" s="412">
        <f>IF(OR(E64="",F64=""),"",E64*F64)</f>
        <v/>
      </c>
      <c r="I64" s="44" t="inlineStr">
        <is>
          <t>右腳；自重；DBR 3</t>
        </is>
      </c>
    </row>
    <row r="65">
      <c r="A65" s="403" t="n">
        <v>46246</v>
      </c>
      <c r="B65" s="34" t="inlineStr">
        <is>
          <t>重訓</t>
        </is>
      </c>
      <c r="C65" s="34" t="inlineStr">
        <is>
          <t>羅馬尼亞蹲</t>
        </is>
      </c>
      <c r="D65" s="410" t="n">
        <v>3</v>
      </c>
      <c r="E65" s="411" t="n">
        <v>5</v>
      </c>
      <c r="F65" s="411" t="n">
        <v>15</v>
      </c>
      <c r="G65" s="411" t="n">
        <v>2</v>
      </c>
      <c r="H65" s="412">
        <f>IF(OR(E65="",F65=""),"",E65*F65)</f>
        <v/>
      </c>
      <c r="I65" s="44" t="inlineStr">
        <is>
          <t>左腳；額外加重 5 kg；DBR 2</t>
        </is>
      </c>
    </row>
    <row r="66">
      <c r="A66" s="403" t="n">
        <v>46246</v>
      </c>
      <c r="B66" s="34" t="inlineStr">
        <is>
          <t>重訓</t>
        </is>
      </c>
      <c r="C66" s="34" t="inlineStr">
        <is>
          <t>羅馬尼亞蹲</t>
        </is>
      </c>
      <c r="D66" s="410" t="n">
        <v>4</v>
      </c>
      <c r="E66" s="411" t="n">
        <v>5</v>
      </c>
      <c r="F66" s="411" t="n">
        <v>8</v>
      </c>
      <c r="G66" s="411" t="n">
        <v>0</v>
      </c>
      <c r="H66" s="412">
        <f>IF(OR(E66="",F66=""),"",E66*F66)</f>
        <v/>
      </c>
      <c r="I66" s="44" t="inlineStr">
        <is>
          <t>右腳；額外加重 5 kg；DBR 0</t>
        </is>
      </c>
    </row>
    <row r="67">
      <c r="A67" s="403" t="n">
        <v>46246</v>
      </c>
      <c r="B67" s="34" t="inlineStr">
        <is>
          <t>重訓</t>
        </is>
      </c>
      <c r="C67" s="34" t="inlineStr">
        <is>
          <t>羅馬尼亞蹲</t>
        </is>
      </c>
      <c r="D67" s="410" t="n">
        <v>5</v>
      </c>
      <c r="E67" s="411" t="n">
        <v>5</v>
      </c>
      <c r="F67" s="411" t="n">
        <v>14</v>
      </c>
      <c r="G67" s="411" t="n">
        <v>0</v>
      </c>
      <c r="H67" s="412">
        <f>IF(OR(E67="",F67=""),"",E67*F67)</f>
        <v/>
      </c>
      <c r="I67" s="44" t="inlineStr">
        <is>
          <t>左腳；額外加重 5 kg；DBR 0</t>
        </is>
      </c>
    </row>
    <row r="68">
      <c r="A68" s="403" t="n">
        <v>46246</v>
      </c>
      <c r="B68" s="34" t="inlineStr">
        <is>
          <t>重訓</t>
        </is>
      </c>
      <c r="C68" s="34" t="inlineStr">
        <is>
          <t>羅馬尼亞蹲</t>
        </is>
      </c>
      <c r="D68" s="410" t="n">
        <v>6</v>
      </c>
      <c r="E68" s="411" t="n">
        <v>5</v>
      </c>
      <c r="F68" s="411" t="n">
        <v>14</v>
      </c>
      <c r="G68" s="411" t="n">
        <v>0</v>
      </c>
      <c r="H68" s="412">
        <f>IF(OR(E68="",F68=""),"",E68*F68)</f>
        <v/>
      </c>
      <c r="I68" s="44" t="inlineStr">
        <is>
          <t>右腳；額外加重 5 kg；DBR 0</t>
        </is>
      </c>
    </row>
    <row r="69">
      <c r="A69" s="403" t="n">
        <v>46246</v>
      </c>
      <c r="B69" s="34" t="inlineStr">
        <is>
          <t>重訓</t>
        </is>
      </c>
      <c r="C69" s="34" t="inlineStr">
        <is>
          <t>羅馬尼亞蹲</t>
        </is>
      </c>
      <c r="D69" s="410" t="n">
        <v>7</v>
      </c>
      <c r="E69" s="411" t="n">
        <v>5</v>
      </c>
      <c r="F69" s="411" t="n">
        <v>14</v>
      </c>
      <c r="G69" s="411" t="n">
        <v>0</v>
      </c>
      <c r="H69" s="412">
        <f>IF(OR(E69="",F69=""),"",E69*F69)</f>
        <v/>
      </c>
      <c r="I69" s="44" t="inlineStr">
        <is>
          <t>左腳；額外加重 5 kg；DBR 0</t>
        </is>
      </c>
    </row>
    <row r="70">
      <c r="A70" s="403" t="n">
        <v>46246</v>
      </c>
      <c r="B70" s="34" t="inlineStr">
        <is>
          <t>重訓</t>
        </is>
      </c>
      <c r="C70" s="34" t="inlineStr">
        <is>
          <t>羅馬尼亞蹲</t>
        </is>
      </c>
      <c r="D70" s="410" t="n">
        <v>8</v>
      </c>
      <c r="E70" s="411" t="n">
        <v>5</v>
      </c>
      <c r="F70" s="411" t="n">
        <v>14</v>
      </c>
      <c r="G70" s="411" t="n">
        <v>0</v>
      </c>
      <c r="H70" s="412">
        <f>IF(OR(E70="",F70=""),"",E70*F70)</f>
        <v/>
      </c>
      <c r="I70" s="44" t="inlineStr">
        <is>
          <t>右腳；額外加重 5 kg；DBR 0</t>
        </is>
      </c>
    </row>
    <row r="71">
      <c r="A71" s="403" t="n">
        <v>46248</v>
      </c>
      <c r="B71" s="34" t="inlineStr">
        <is>
          <t>重訓</t>
        </is>
      </c>
      <c r="C71" s="34" t="inlineStr">
        <is>
          <t>上斜胸推</t>
        </is>
      </c>
      <c r="D71" s="410" t="n">
        <v>1</v>
      </c>
      <c r="E71" s="411" t="n">
        <v>20</v>
      </c>
      <c r="F71" s="411" t="n">
        <v>15</v>
      </c>
      <c r="G71" s="411" t="n">
        <v>3</v>
      </c>
      <c r="H71" s="412">
        <f>IF(OR(E71="",F71=""),"",E71*F71)</f>
        <v/>
      </c>
      <c r="I71" s="44" t="inlineStr">
        <is>
          <t>DBR 3</t>
        </is>
      </c>
    </row>
    <row r="72">
      <c r="A72" s="403" t="n">
        <v>46248</v>
      </c>
      <c r="B72" s="34" t="inlineStr">
        <is>
          <t>重訓</t>
        </is>
      </c>
      <c r="C72" s="34" t="inlineStr">
        <is>
          <t>上斜胸推</t>
        </is>
      </c>
      <c r="D72" s="410" t="n">
        <v>2</v>
      </c>
      <c r="E72" s="411" t="n">
        <v>25</v>
      </c>
      <c r="F72" s="411" t="n">
        <v>12</v>
      </c>
      <c r="G72" s="411" t="n">
        <v>1</v>
      </c>
      <c r="H72" s="412">
        <f>IF(OR(E72="",F72=""),"",E72*F72)</f>
        <v/>
      </c>
      <c r="I72" s="44" t="inlineStr">
        <is>
          <t>DBR 1</t>
        </is>
      </c>
    </row>
    <row r="73">
      <c r="A73" s="403" t="n">
        <v>46248</v>
      </c>
      <c r="B73" s="34" t="inlineStr">
        <is>
          <t>重訓</t>
        </is>
      </c>
      <c r="C73" s="34" t="inlineStr">
        <is>
          <t>上斜胸推</t>
        </is>
      </c>
      <c r="D73" s="410" t="n">
        <v>3</v>
      </c>
      <c r="E73" s="411" t="n">
        <v>25</v>
      </c>
      <c r="F73" s="411" t="n">
        <v>10</v>
      </c>
      <c r="G73" s="411" t="n">
        <v>0</v>
      </c>
      <c r="H73" s="412">
        <f>IF(OR(E73="",F73=""),"",E73*F73)</f>
        <v/>
      </c>
      <c r="I73" s="44" t="inlineStr">
        <is>
          <t>DBR 0；重量未重複提供，沿用上一組 25 kg</t>
        </is>
      </c>
    </row>
    <row r="74">
      <c r="A74" s="403" t="n">
        <v>46248</v>
      </c>
      <c r="B74" s="34" t="inlineStr">
        <is>
          <t>重訓</t>
        </is>
      </c>
      <c r="C74" s="34" t="inlineStr">
        <is>
          <t>上斜胸推</t>
        </is>
      </c>
      <c r="D74" s="410" t="n">
        <v>4</v>
      </c>
      <c r="E74" s="411" t="n">
        <v>25</v>
      </c>
      <c r="F74" s="411" t="n">
        <v>10</v>
      </c>
      <c r="G74" s="411" t="n">
        <v>0</v>
      </c>
      <c r="H74" s="412">
        <f>IF(OR(E74="",F74=""),"",E74*F74)</f>
        <v/>
      </c>
      <c r="I74" s="44" t="inlineStr">
        <is>
          <t>DBR 0；重量未重複提供，沿用上一組 25 kg</t>
        </is>
      </c>
    </row>
    <row r="75">
      <c r="A75" s="403" t="n">
        <v>46248</v>
      </c>
      <c r="B75" s="34" t="inlineStr">
        <is>
          <t>重訓</t>
        </is>
      </c>
      <c r="C75" s="34" t="inlineStr">
        <is>
          <t>睾丸繩下拉</t>
        </is>
      </c>
      <c r="D75" s="410" t="n">
        <v>1</v>
      </c>
      <c r="E75" s="411" t="n">
        <v>8.75</v>
      </c>
      <c r="F75" s="411" t="n">
        <v>11</v>
      </c>
      <c r="G75" s="411" t="n">
        <v>0</v>
      </c>
      <c r="H75" s="412">
        <f>IF(OR(E75="",F75=""),"",E75*F75)</f>
        <v/>
      </c>
      <c r="I75" s="44" t="inlineStr">
        <is>
          <t>器械刻度確認為 kg；DBR 0</t>
        </is>
      </c>
    </row>
    <row r="76">
      <c r="A76" s="403" t="n">
        <v>46248</v>
      </c>
      <c r="B76" s="34" t="inlineStr">
        <is>
          <t>重訓</t>
        </is>
      </c>
      <c r="C76" s="34" t="inlineStr">
        <is>
          <t>睾丸繩下拉</t>
        </is>
      </c>
      <c r="D76" s="410" t="n">
        <v>2</v>
      </c>
      <c r="E76" s="411" t="n">
        <v>8.75</v>
      </c>
      <c r="F76" s="411" t="n">
        <v>10</v>
      </c>
      <c r="G76" s="411" t="n">
        <v>0</v>
      </c>
      <c r="H76" s="412">
        <f>IF(OR(E76="",F76=""),"",E76*F76)</f>
        <v/>
      </c>
      <c r="I76" s="44" t="inlineStr">
        <is>
          <t>器械刻度確認為 kg；DBR 0；重量未重複提供，沿用上一組 8.75 kg</t>
        </is>
      </c>
    </row>
    <row r="77">
      <c r="A77" s="403" t="n">
        <v>46248</v>
      </c>
      <c r="B77" s="34" t="inlineStr">
        <is>
          <t>重訓</t>
        </is>
      </c>
      <c r="C77" s="34" t="inlineStr">
        <is>
          <t>睾丸繩下拉</t>
        </is>
      </c>
      <c r="D77" s="410" t="n">
        <v>3</v>
      </c>
      <c r="E77" s="411" t="n">
        <v>6.25</v>
      </c>
      <c r="F77" s="411" t="n">
        <v>13</v>
      </c>
      <c r="G77" s="411" t="n">
        <v>0</v>
      </c>
      <c r="H77" s="412">
        <f>IF(OR(E77="",F77=""),"",E77*F77)</f>
        <v/>
      </c>
      <c r="I77" s="44" t="inlineStr">
        <is>
          <t>器械刻度確認為 kg；DBR 0</t>
        </is>
      </c>
    </row>
    <row r="78">
      <c r="A78" s="403" t="n">
        <v>46248</v>
      </c>
      <c r="B78" s="34" t="inlineStr">
        <is>
          <t>重訓</t>
        </is>
      </c>
      <c r="C78" s="34" t="inlineStr">
        <is>
          <t>睾丸繩下拉</t>
        </is>
      </c>
      <c r="D78" s="410" t="n">
        <v>4</v>
      </c>
      <c r="E78" s="411" t="n">
        <v>6.25</v>
      </c>
      <c r="F78" s="411" t="n">
        <v>13</v>
      </c>
      <c r="G78" s="411" t="n">
        <v>0</v>
      </c>
      <c r="H78" s="412">
        <f>IF(OR(E78="",F78=""),"",E78*F78)</f>
        <v/>
      </c>
      <c r="I78" s="44" t="inlineStr">
        <is>
          <t>器械刻度確認為 kg；DBR 0；重量未重複提供，沿用上一組 6.25 kg</t>
        </is>
      </c>
    </row>
    <row r="79">
      <c r="A79" s="403" t="n">
        <v>46248</v>
      </c>
      <c r="B79" s="34" t="inlineStr">
        <is>
          <t>重訓</t>
        </is>
      </c>
      <c r="C79" s="34" t="inlineStr">
        <is>
          <t>睾丸繩下拉</t>
        </is>
      </c>
      <c r="D79" s="410" t="n">
        <v>5</v>
      </c>
      <c r="E79" s="411" t="n">
        <v>6.25</v>
      </c>
      <c r="F79" s="411" t="n">
        <v>11</v>
      </c>
      <c r="G79" s="411" t="n">
        <v>0</v>
      </c>
      <c r="H79" s="412">
        <f>IF(OR(E79="",F79=""),"",E79*F79)</f>
        <v/>
      </c>
      <c r="I79" s="44" t="inlineStr">
        <is>
          <t>器械刻度確認為 kg；DBR 0；重量未重複提供，沿用上一組 6.25 kg</t>
        </is>
      </c>
    </row>
    <row r="80">
      <c r="A80" s="403" t="n">
        <v>46248</v>
      </c>
      <c r="B80" s="34" t="inlineStr">
        <is>
          <t>重訓</t>
        </is>
      </c>
      <c r="C80" s="34" t="inlineStr">
        <is>
          <t>腿後勾</t>
        </is>
      </c>
      <c r="D80" s="410" t="n">
        <v>1</v>
      </c>
      <c r="E80" s="411" t="n">
        <v>40</v>
      </c>
      <c r="F80" s="411" t="n">
        <v>15</v>
      </c>
      <c r="G80" s="411" t="n">
        <v>2</v>
      </c>
      <c r="H80" s="412">
        <f>IF(OR(E80="",F80=""),"",E80*F80)</f>
        <v/>
      </c>
      <c r="I80" s="44" t="inlineStr">
        <is>
          <t>DBR 2</t>
        </is>
      </c>
    </row>
    <row r="81">
      <c r="A81" s="403" t="n">
        <v>46248</v>
      </c>
      <c r="B81" s="34" t="inlineStr">
        <is>
          <t>重訓</t>
        </is>
      </c>
      <c r="C81" s="34" t="inlineStr">
        <is>
          <t>腿後勾</t>
        </is>
      </c>
      <c r="D81" s="410" t="n">
        <v>2</v>
      </c>
      <c r="E81" s="411" t="n">
        <v>40</v>
      </c>
      <c r="F81" s="411" t="n">
        <v>15</v>
      </c>
      <c r="G81" s="411" t="n">
        <v>1</v>
      </c>
      <c r="H81" s="412">
        <f>IF(OR(E81="",F81=""),"",E81*F81)</f>
        <v/>
      </c>
      <c r="I81" s="44" t="inlineStr">
        <is>
          <t>DBR 1</t>
        </is>
      </c>
    </row>
    <row r="82">
      <c r="A82" s="403" t="n">
        <v>46248</v>
      </c>
      <c r="B82" s="34" t="inlineStr">
        <is>
          <t>重訓</t>
        </is>
      </c>
      <c r="C82" s="34" t="inlineStr">
        <is>
          <t>腿後勾</t>
        </is>
      </c>
      <c r="D82" s="410" t="n">
        <v>3</v>
      </c>
      <c r="E82" s="411" t="n">
        <v>40</v>
      </c>
      <c r="F82" s="411" t="n">
        <v>15</v>
      </c>
      <c r="G82" s="411" t="n">
        <v>1</v>
      </c>
      <c r="H82" s="412">
        <f>IF(OR(E82="",F82=""),"",E82*F82)</f>
        <v/>
      </c>
      <c r="I82" s="44" t="inlineStr">
        <is>
          <t>DBR 1；重量未重複提供，沿用上一組 40 kg</t>
        </is>
      </c>
    </row>
    <row r="83">
      <c r="A83" s="403" t="n">
        <v>46248</v>
      </c>
      <c r="B83" s="34" t="inlineStr">
        <is>
          <t>重訓</t>
        </is>
      </c>
      <c r="C83" s="34" t="inlineStr">
        <is>
          <t>腿後勾</t>
        </is>
      </c>
      <c r="D83" s="410" t="n">
        <v>4</v>
      </c>
      <c r="E83" s="411" t="n">
        <v>40</v>
      </c>
      <c r="F83" s="411" t="n">
        <v>15</v>
      </c>
      <c r="G83" s="411" t="n">
        <v>0</v>
      </c>
      <c r="H83" s="412">
        <f>IF(OR(E83="",F83=""),"",E83*F83)</f>
        <v/>
      </c>
      <c r="I83" s="44" t="inlineStr">
        <is>
          <t>DBR 0；重量未重複提供，沿用上一組 40 kg</t>
        </is>
      </c>
    </row>
    <row r="84">
      <c r="A84" s="403" t="n">
        <v>46248</v>
      </c>
      <c r="B84" s="34" t="inlineStr">
        <is>
          <t>重訓</t>
        </is>
      </c>
      <c r="C84" s="34" t="inlineStr">
        <is>
          <t>臀推機</t>
        </is>
      </c>
      <c r="D84" s="410" t="n">
        <v>1</v>
      </c>
      <c r="E84" s="411" t="n">
        <v>30</v>
      </c>
      <c r="F84" s="411" t="n">
        <v>13</v>
      </c>
      <c r="G84" s="411" t="n">
        <v>2</v>
      </c>
      <c r="H84" s="412">
        <f>IF(OR(E84="",F84=""),"",E84*F84)</f>
        <v/>
      </c>
      <c r="I84" s="44" t="inlineStr">
        <is>
          <t>DBR 2</t>
        </is>
      </c>
    </row>
    <row r="85">
      <c r="A85" s="403" t="n">
        <v>46248</v>
      </c>
      <c r="B85" s="34" t="inlineStr">
        <is>
          <t>重訓</t>
        </is>
      </c>
      <c r="C85" s="34" t="inlineStr">
        <is>
          <t>臀推機</t>
        </is>
      </c>
      <c r="D85" s="410" t="n">
        <v>2</v>
      </c>
      <c r="E85" s="411" t="n">
        <v>30</v>
      </c>
      <c r="F85" s="411" t="n">
        <v>13</v>
      </c>
      <c r="G85" s="411" t="n">
        <v>1</v>
      </c>
      <c r="H85" s="412">
        <f>IF(OR(E85="",F85=""),"",E85*F85)</f>
        <v/>
      </c>
      <c r="I85" s="44" t="inlineStr">
        <is>
          <t>DBR 1；重量未重複提供，沿用上一組 30 kg</t>
        </is>
      </c>
    </row>
    <row r="86">
      <c r="A86" s="403" t="n">
        <v>46248</v>
      </c>
      <c r="B86" s="34" t="inlineStr">
        <is>
          <t>重訓</t>
        </is>
      </c>
      <c r="C86" s="34" t="inlineStr">
        <is>
          <t>臀推機</t>
        </is>
      </c>
      <c r="D86" s="410" t="n">
        <v>3</v>
      </c>
      <c r="E86" s="411" t="n">
        <v>30</v>
      </c>
      <c r="F86" s="411" t="n">
        <v>12</v>
      </c>
      <c r="G86" s="411" t="n">
        <v>0</v>
      </c>
      <c r="H86" s="412">
        <f>IF(OR(E86="",F86=""),"",E86*F86)</f>
        <v/>
      </c>
      <c r="I86" s="44" t="inlineStr">
        <is>
          <t>DBR 0；重量未重複提供，沿用上一組 30 kg</t>
        </is>
      </c>
    </row>
    <row r="87">
      <c r="A87" s="403" t="n">
        <v>46248</v>
      </c>
      <c r="B87" s="34" t="inlineStr">
        <is>
          <t>重訓</t>
        </is>
      </c>
      <c r="C87" s="34" t="inlineStr">
        <is>
          <t>臀推機</t>
        </is>
      </c>
      <c r="D87" s="410" t="n">
        <v>4</v>
      </c>
      <c r="E87" s="411" t="n">
        <v>30</v>
      </c>
      <c r="F87" s="411" t="n">
        <v>10</v>
      </c>
      <c r="G87" s="411" t="n">
        <v>0</v>
      </c>
      <c r="H87" s="412">
        <f>IF(OR(E87="",F87=""),"",E87*F87)</f>
        <v/>
      </c>
      <c r="I87" s="44" t="inlineStr">
        <is>
          <t>DBR 0；重量未重複提供，沿用上一組 30 kg</t>
        </is>
      </c>
    </row>
    <row r="88">
      <c r="A88" s="403" t="n">
        <v>46252</v>
      </c>
      <c r="B88" s="34" t="inlineStr">
        <is>
          <t>重訓</t>
        </is>
      </c>
      <c r="C88" s="34" t="inlineStr">
        <is>
          <t>上斜胸推</t>
        </is>
      </c>
      <c r="D88" s="410" t="n">
        <v>1</v>
      </c>
      <c r="E88" s="411" t="n">
        <v>25</v>
      </c>
      <c r="F88" s="411" t="n">
        <v>12</v>
      </c>
      <c r="G88" s="411" t="n">
        <v>3</v>
      </c>
      <c r="H88" s="412">
        <f>IF(OR(E88="",F88=""),"",E88*F88)</f>
        <v/>
      </c>
      <c r="I88" s="44" t="inlineStr">
        <is>
          <t>DBR 3</t>
        </is>
      </c>
    </row>
    <row r="89">
      <c r="A89" s="403" t="n">
        <v>46252</v>
      </c>
      <c r="B89" s="34" t="inlineStr">
        <is>
          <t>重訓</t>
        </is>
      </c>
      <c r="C89" s="34" t="inlineStr">
        <is>
          <t>上斜胸推</t>
        </is>
      </c>
      <c r="D89" s="410" t="n">
        <v>2</v>
      </c>
      <c r="E89" s="411" t="n">
        <v>25</v>
      </c>
      <c r="F89" s="411" t="n">
        <v>12</v>
      </c>
      <c r="G89" s="411" t="n">
        <v>3</v>
      </c>
      <c r="H89" s="412">
        <f>IF(OR(E89="",F89=""),"",E89*F89)</f>
        <v/>
      </c>
      <c r="I89" s="44" t="inlineStr">
        <is>
          <t>DBR 3</t>
        </is>
      </c>
    </row>
    <row r="90">
      <c r="A90" s="403" t="n">
        <v>46252</v>
      </c>
      <c r="B90" s="34" t="inlineStr">
        <is>
          <t>重訓</t>
        </is>
      </c>
      <c r="C90" s="34" t="inlineStr">
        <is>
          <t>上斜胸推</t>
        </is>
      </c>
      <c r="D90" s="410" t="n">
        <v>3</v>
      </c>
      <c r="E90" s="411" t="n">
        <v>25</v>
      </c>
      <c r="F90" s="411" t="n">
        <v>13</v>
      </c>
      <c r="G90" s="411" t="n">
        <v>0</v>
      </c>
      <c r="H90" s="412">
        <f>IF(OR(E90="",F90=""),"",E90*F90)</f>
        <v/>
      </c>
      <c r="I90" s="44" t="inlineStr">
        <is>
          <t>DBR 0</t>
        </is>
      </c>
    </row>
    <row r="91">
      <c r="A91" s="403" t="n">
        <v>46252</v>
      </c>
      <c r="B91" s="34" t="inlineStr">
        <is>
          <t>重訓</t>
        </is>
      </c>
      <c r="C91" s="34" t="inlineStr">
        <is>
          <t>上斜胸推</t>
        </is>
      </c>
      <c r="D91" s="410" t="n">
        <v>4</v>
      </c>
      <c r="E91" s="411" t="n">
        <v>25</v>
      </c>
      <c r="F91" s="411" t="n">
        <v>5</v>
      </c>
      <c r="G91" s="411" t="n">
        <v>0</v>
      </c>
      <c r="H91" s="412">
        <f>IF(OR(E91="",F91=""),"",E91*F91)</f>
        <v/>
      </c>
      <c r="I91" s="44" t="inlineStr">
        <is>
          <t>DBR 0</t>
        </is>
      </c>
    </row>
    <row r="92">
      <c r="A92" s="403" t="n">
        <v>46252</v>
      </c>
      <c r="B92" s="34" t="inlineStr">
        <is>
          <t>重訓</t>
        </is>
      </c>
      <c r="C92" s="34" t="inlineStr">
        <is>
          <t>反向飛鳥</t>
        </is>
      </c>
      <c r="D92" s="410" t="n">
        <v>1</v>
      </c>
      <c r="E92" s="411" t="n">
        <v>20</v>
      </c>
      <c r="F92" s="411" t="n">
        <v>12</v>
      </c>
      <c r="G92" s="411" t="n">
        <v>3</v>
      </c>
      <c r="H92" s="412">
        <f>IF(OR(E92="",F92=""),"",E92*F92)</f>
        <v/>
      </c>
      <c r="I92" s="44" t="inlineStr">
        <is>
          <t>DBR 3</t>
        </is>
      </c>
    </row>
    <row r="93">
      <c r="A93" s="403" t="n">
        <v>46252</v>
      </c>
      <c r="B93" s="34" t="inlineStr">
        <is>
          <t>重訓</t>
        </is>
      </c>
      <c r="C93" s="34" t="inlineStr">
        <is>
          <t>反向飛鳥</t>
        </is>
      </c>
      <c r="D93" s="410" t="n">
        <v>2</v>
      </c>
      <c r="E93" s="411" t="n">
        <v>20</v>
      </c>
      <c r="F93" s="411" t="n">
        <v>13</v>
      </c>
      <c r="G93" s="411" t="n">
        <v>0</v>
      </c>
      <c r="H93" s="412">
        <f>IF(OR(E93="",F93=""),"",E93*F93)</f>
        <v/>
      </c>
      <c r="I93" s="44" t="inlineStr">
        <is>
          <t>DBR 0</t>
        </is>
      </c>
    </row>
    <row r="94">
      <c r="A94" s="403" t="n">
        <v>46252</v>
      </c>
      <c r="B94" s="34" t="inlineStr">
        <is>
          <t>重訓</t>
        </is>
      </c>
      <c r="C94" s="34" t="inlineStr">
        <is>
          <t>反向飛鳥</t>
        </is>
      </c>
      <c r="D94" s="410" t="n">
        <v>3</v>
      </c>
      <c r="E94" s="411" t="n">
        <v>20</v>
      </c>
      <c r="F94" s="411" t="n">
        <v>13</v>
      </c>
      <c r="G94" s="411" t="n">
        <v>0</v>
      </c>
      <c r="H94" s="412">
        <f>IF(OR(E94="",F94=""),"",E94*F94)</f>
        <v/>
      </c>
      <c r="I94" s="44" t="inlineStr">
        <is>
          <t>DBR 0；重量未重複提供，沿用上一組 20 kg</t>
        </is>
      </c>
    </row>
    <row r="95">
      <c r="A95" s="403" t="n">
        <v>46252</v>
      </c>
      <c r="B95" s="34" t="inlineStr">
        <is>
          <t>重訓</t>
        </is>
      </c>
      <c r="C95" s="34" t="inlineStr">
        <is>
          <t>反向飛鳥</t>
        </is>
      </c>
      <c r="D95" s="410" t="n">
        <v>4</v>
      </c>
      <c r="E95" s="411" t="n">
        <v>20</v>
      </c>
      <c r="F95" s="411" t="n">
        <v>15</v>
      </c>
      <c r="G95" s="411" t="n">
        <v>0</v>
      </c>
      <c r="H95" s="412">
        <f>IF(OR(E95="",F95=""),"",E95*F95)</f>
        <v/>
      </c>
      <c r="I95" s="44" t="inlineStr">
        <is>
          <t>DBR 0；重量未重複提供，沿用上一組 20 kg</t>
        </is>
      </c>
    </row>
    <row r="96">
      <c r="A96" s="403" t="n">
        <v>46252</v>
      </c>
      <c r="B96" s="34" t="inlineStr">
        <is>
          <t>重訓</t>
        </is>
      </c>
      <c r="C96" s="34" t="inlineStr">
        <is>
          <t>飛鳥夾胸</t>
        </is>
      </c>
      <c r="D96" s="410" t="n">
        <v>1</v>
      </c>
      <c r="E96" s="411" t="n">
        <v>20</v>
      </c>
      <c r="F96" s="411" t="n">
        <v>12</v>
      </c>
      <c r="G96" s="411" t="n">
        <v>3</v>
      </c>
      <c r="H96" s="412">
        <f>IF(OR(E96="",F96=""),"",E96*F96)</f>
        <v/>
      </c>
      <c r="I96" s="44" t="inlineStr">
        <is>
          <t>DBR 3</t>
        </is>
      </c>
    </row>
    <row r="97">
      <c r="A97" s="403" t="n">
        <v>46252</v>
      </c>
      <c r="B97" s="34" t="inlineStr">
        <is>
          <t>重訓</t>
        </is>
      </c>
      <c r="C97" s="34" t="inlineStr">
        <is>
          <t>飛鳥夾胸</t>
        </is>
      </c>
      <c r="D97" s="410" t="n">
        <v>2</v>
      </c>
      <c r="E97" s="411" t="n">
        <v>20</v>
      </c>
      <c r="F97" s="411" t="n">
        <v>15</v>
      </c>
      <c r="G97" s="411" t="n">
        <v>3</v>
      </c>
      <c r="H97" s="412">
        <f>IF(OR(E97="",F97=""),"",E97*F97)</f>
        <v/>
      </c>
      <c r="I97" s="44" t="inlineStr">
        <is>
          <t>DBR 3</t>
        </is>
      </c>
    </row>
    <row r="98">
      <c r="A98" s="403" t="n">
        <v>46252</v>
      </c>
      <c r="B98" s="34" t="inlineStr">
        <is>
          <t>重訓</t>
        </is>
      </c>
      <c r="C98" s="34" t="inlineStr">
        <is>
          <t>飛鳥夾胸</t>
        </is>
      </c>
      <c r="D98" s="410" t="n">
        <v>3</v>
      </c>
      <c r="E98" s="411" t="n">
        <v>25</v>
      </c>
      <c r="F98" s="411" t="n">
        <v>15</v>
      </c>
      <c r="G98" s="411" t="n">
        <v>2</v>
      </c>
      <c r="H98" s="412">
        <f>IF(OR(E98="",F98=""),"",E98*F98)</f>
        <v/>
      </c>
      <c r="I98" s="44" t="inlineStr">
        <is>
          <t>DBR 2</t>
        </is>
      </c>
    </row>
    <row r="99">
      <c r="A99" s="403" t="n">
        <v>46252</v>
      </c>
      <c r="B99" s="34" t="inlineStr">
        <is>
          <t>重訓</t>
        </is>
      </c>
      <c r="C99" s="34" t="inlineStr">
        <is>
          <t>飛鳥夾胸</t>
        </is>
      </c>
      <c r="D99" s="410" t="n">
        <v>4</v>
      </c>
      <c r="E99" s="411" t="n">
        <v>25</v>
      </c>
      <c r="F99" s="411" t="n">
        <v>13</v>
      </c>
      <c r="G99" s="411" t="n">
        <v>0</v>
      </c>
      <c r="H99" s="412">
        <f>IF(OR(E99="",F99=""),"",E99*F99)</f>
        <v/>
      </c>
      <c r="I99" s="44" t="inlineStr">
        <is>
          <t>DBR 0；重量未重複提供，沿用上一組 25 kg</t>
        </is>
      </c>
    </row>
    <row r="100">
      <c r="A100" s="403" t="n">
        <v>46252</v>
      </c>
      <c r="B100" s="34" t="inlineStr">
        <is>
          <t>重訓</t>
        </is>
      </c>
      <c r="C100" s="34" t="inlineStr">
        <is>
          <t>飛鳥夾胸</t>
        </is>
      </c>
      <c r="D100" s="410" t="n">
        <v>5</v>
      </c>
      <c r="E100" s="411" t="n">
        <v>20</v>
      </c>
      <c r="F100" s="411" t="n">
        <v>15</v>
      </c>
      <c r="G100" s="411" t="n">
        <v>2</v>
      </c>
      <c r="H100" s="412">
        <f>IF(OR(E100="",F100=""),"",E100*F100)</f>
        <v/>
      </c>
      <c r="I100" s="44" t="inlineStr">
        <is>
          <t>DBR 2</t>
        </is>
      </c>
    </row>
    <row r="101">
      <c r="A101" s="403" t="n">
        <v>46258</v>
      </c>
      <c r="B101" s="34" t="inlineStr">
        <is>
          <t>重訓</t>
        </is>
      </c>
      <c r="C101" s="34" t="inlineStr">
        <is>
          <t>滑輪下拉</t>
        </is>
      </c>
      <c r="D101" s="410" t="n">
        <v>1</v>
      </c>
      <c r="E101" s="411" t="n">
        <v>30</v>
      </c>
      <c r="F101" s="411" t="n">
        <v>15</v>
      </c>
      <c r="G101" s="411" t="n">
        <v>5</v>
      </c>
      <c r="H101" s="412">
        <f>IF(OR(E101="",F101=""),"",E101*F101)</f>
        <v/>
      </c>
      <c r="I101" s="44" t="inlineStr">
        <is>
          <t>DBR 5</t>
        </is>
      </c>
    </row>
    <row r="102">
      <c r="A102" s="403" t="n">
        <v>46258</v>
      </c>
      <c r="B102" s="34" t="inlineStr">
        <is>
          <t>重訓</t>
        </is>
      </c>
      <c r="C102" s="34" t="inlineStr">
        <is>
          <t>滑輪下拉</t>
        </is>
      </c>
      <c r="D102" s="410" t="n">
        <v>2</v>
      </c>
      <c r="E102" s="411" t="n">
        <v>33.75</v>
      </c>
      <c r="F102" s="411" t="n">
        <v>15</v>
      </c>
      <c r="G102" s="411" t="n">
        <v>4</v>
      </c>
      <c r="H102" s="412">
        <f>IF(OR(E102="",F102=""),"",E102*F102)</f>
        <v/>
      </c>
      <c r="I102" s="44" t="inlineStr">
        <is>
          <t>DBR 4</t>
        </is>
      </c>
    </row>
    <row r="103">
      <c r="A103" s="403" t="n">
        <v>46258</v>
      </c>
      <c r="B103" s="34" t="inlineStr">
        <is>
          <t>重訓</t>
        </is>
      </c>
      <c r="C103" s="34" t="inlineStr">
        <is>
          <t>滑輪下拉</t>
        </is>
      </c>
      <c r="D103" s="410" t="n">
        <v>3</v>
      </c>
      <c r="E103" s="411" t="n">
        <v>33.75</v>
      </c>
      <c r="F103" s="411" t="n">
        <v>15</v>
      </c>
      <c r="G103" s="411" t="n">
        <v>3</v>
      </c>
      <c r="H103" s="412">
        <f>IF(OR(E103="",F103=""),"",E103*F103)</f>
        <v/>
      </c>
      <c r="I103" s="44" t="inlineStr">
        <is>
          <t>DBR 3</t>
        </is>
      </c>
    </row>
    <row r="104">
      <c r="A104" s="403" t="n">
        <v>46258</v>
      </c>
      <c r="B104" s="34" t="inlineStr">
        <is>
          <t>重訓</t>
        </is>
      </c>
      <c r="C104" s="34" t="inlineStr">
        <is>
          <t>滑輪下拉</t>
        </is>
      </c>
      <c r="D104" s="410" t="n">
        <v>4</v>
      </c>
      <c r="E104" s="411" t="n">
        <v>33.75</v>
      </c>
      <c r="F104" s="411" t="n">
        <v>15</v>
      </c>
      <c r="G104" s="411" t="n">
        <v>1</v>
      </c>
      <c r="H104" s="412">
        <f>IF(OR(E104="",F104=""),"",E104*F104)</f>
        <v/>
      </c>
      <c r="I104" s="44" t="inlineStr">
        <is>
          <t>DBR 1</t>
        </is>
      </c>
    </row>
    <row r="105">
      <c r="A105" s="403" t="n">
        <v>46258</v>
      </c>
      <c r="B105" s="34" t="inlineStr">
        <is>
          <t>重訓</t>
        </is>
      </c>
      <c r="C105" s="34" t="inlineStr">
        <is>
          <t>滑輪下拉</t>
        </is>
      </c>
      <c r="D105" s="410" t="n">
        <v>5</v>
      </c>
      <c r="E105" s="411" t="n">
        <v>30.75</v>
      </c>
      <c r="F105" s="411" t="n">
        <v>15</v>
      </c>
      <c r="G105" s="411" t="n">
        <v>0</v>
      </c>
      <c r="H105" s="412">
        <f>IF(OR(E105="",F105=""),"",E105*F105)</f>
        <v/>
      </c>
      <c r="I105" s="44" t="inlineStr">
        <is>
          <t>DBR 0；使用者回報做到前臂酸</t>
        </is>
      </c>
    </row>
    <row r="106">
      <c r="A106" s="403" t="n">
        <v>46258</v>
      </c>
      <c r="B106" s="34" t="inlineStr">
        <is>
          <t>重訓</t>
        </is>
      </c>
      <c r="C106" s="34" t="inlineStr">
        <is>
          <t>划船</t>
        </is>
      </c>
      <c r="D106" s="410" t="n">
        <v>1</v>
      </c>
      <c r="E106" s="411" t="n">
        <v>30</v>
      </c>
      <c r="F106" s="411" t="n">
        <v>14</v>
      </c>
      <c r="G106" s="411" t="n">
        <v>0</v>
      </c>
      <c r="H106" s="412">
        <f>IF(OR(E106="",F106=""),"",E106*F106)</f>
        <v/>
      </c>
      <c r="I106" s="44" t="inlineStr">
        <is>
          <t>DBR 0</t>
        </is>
      </c>
    </row>
    <row r="107">
      <c r="A107" s="403" t="n">
        <v>46258</v>
      </c>
      <c r="B107" s="34" t="inlineStr">
        <is>
          <t>重訓</t>
        </is>
      </c>
      <c r="C107" s="34" t="inlineStr">
        <is>
          <t>划船</t>
        </is>
      </c>
      <c r="D107" s="410" t="n">
        <v>2</v>
      </c>
      <c r="E107" s="411" t="n">
        <v>26.25</v>
      </c>
      <c r="F107" s="411" t="n">
        <v>15</v>
      </c>
      <c r="G107" s="411" t="n">
        <v>1</v>
      </c>
      <c r="H107" s="412">
        <f>IF(OR(E107="",F107=""),"",E107*F107)</f>
        <v/>
      </c>
      <c r="I107" s="44" t="inlineStr">
        <is>
          <t>DBR 1</t>
        </is>
      </c>
    </row>
    <row r="108">
      <c r="A108" s="403" t="n">
        <v>46258</v>
      </c>
      <c r="B108" s="34" t="inlineStr">
        <is>
          <t>重訓</t>
        </is>
      </c>
      <c r="C108" s="34" t="inlineStr">
        <is>
          <t>划船</t>
        </is>
      </c>
      <c r="D108" s="410" t="n">
        <v>3</v>
      </c>
      <c r="E108" s="411" t="n">
        <v>26.25</v>
      </c>
      <c r="F108" s="411" t="n">
        <v>15</v>
      </c>
      <c r="G108" s="411" t="n">
        <v>0</v>
      </c>
      <c r="H108" s="412">
        <f>IF(OR(E108="",F108=""),"",E108*F108)</f>
        <v/>
      </c>
      <c r="I108" s="44" t="inlineStr">
        <is>
          <t>DBR 0；重量未重複提供，沿用上一組 26.25 kg</t>
        </is>
      </c>
    </row>
    <row r="109">
      <c r="A109" s="403" t="n">
        <v>46258</v>
      </c>
      <c r="B109" s="34" t="inlineStr">
        <is>
          <t>重訓</t>
        </is>
      </c>
      <c r="C109" s="34" t="inlineStr">
        <is>
          <t>划船</t>
        </is>
      </c>
      <c r="D109" s="410" t="n">
        <v>4</v>
      </c>
      <c r="E109" s="411" t="n">
        <v>26.25</v>
      </c>
      <c r="F109" s="411" t="n">
        <v>13</v>
      </c>
      <c r="G109" s="411" t="n">
        <v>0</v>
      </c>
      <c r="H109" s="412">
        <f>IF(OR(E109="",F109=""),"",E109*F109)</f>
        <v/>
      </c>
      <c r="I109" s="44" t="inlineStr">
        <is>
          <t>DBR 0；重量未重複提供，沿用上一組 26.25 kg</t>
        </is>
      </c>
    </row>
    <row r="110">
      <c r="A110" s="403" t="n">
        <v>46258</v>
      </c>
      <c r="B110" s="34" t="inlineStr">
        <is>
          <t>重訓</t>
        </is>
      </c>
      <c r="C110" s="34" t="inlineStr">
        <is>
          <t>腿外展</t>
        </is>
      </c>
      <c r="D110" s="410" t="n">
        <v>1</v>
      </c>
      <c r="E110" s="411" t="n">
        <v>32</v>
      </c>
      <c r="F110" s="411" t="n">
        <v>15</v>
      </c>
      <c r="G110" s="411" t="n">
        <v>1</v>
      </c>
      <c r="H110" s="412">
        <f>IF(OR(E110="",F110=""),"",E110*F110)</f>
        <v/>
      </c>
      <c r="I110" s="44" t="inlineStr">
        <is>
          <t>DBR 1</t>
        </is>
      </c>
    </row>
    <row r="111">
      <c r="A111" s="403" t="n">
        <v>46258</v>
      </c>
      <c r="B111" s="34" t="inlineStr">
        <is>
          <t>重訓</t>
        </is>
      </c>
      <c r="C111" s="34" t="inlineStr">
        <is>
          <t>腿外展</t>
        </is>
      </c>
      <c r="D111" s="410" t="n">
        <v>2</v>
      </c>
      <c r="E111" s="411" t="n">
        <v>32</v>
      </c>
      <c r="F111" s="411" t="n">
        <v>15</v>
      </c>
      <c r="G111" s="411" t="n">
        <v>1</v>
      </c>
      <c r="H111" s="412">
        <f>IF(OR(E111="",F111=""),"",E111*F111)</f>
        <v/>
      </c>
      <c r="I111" s="44" t="inlineStr">
        <is>
          <t>DBR 1</t>
        </is>
      </c>
    </row>
    <row r="112">
      <c r="A112" s="403" t="n">
        <v>46258</v>
      </c>
      <c r="B112" s="34" t="inlineStr">
        <is>
          <t>重訓</t>
        </is>
      </c>
      <c r="C112" s="34" t="inlineStr">
        <is>
          <t>腿外展</t>
        </is>
      </c>
      <c r="D112" s="410" t="n">
        <v>3</v>
      </c>
      <c r="E112" s="411" t="n">
        <v>32</v>
      </c>
      <c r="F112" s="411" t="n">
        <v>15</v>
      </c>
      <c r="G112" s="411" t="n">
        <v>0</v>
      </c>
      <c r="H112" s="412">
        <f>IF(OR(E112="",F112=""),"",E112*F112)</f>
        <v/>
      </c>
      <c r="I112" s="44" t="inlineStr">
        <is>
          <t>DBR 0</t>
        </is>
      </c>
    </row>
    <row r="113">
      <c r="A113" s="403" t="n">
        <v>46258</v>
      </c>
      <c r="B113" s="34" t="inlineStr">
        <is>
          <t>重訓</t>
        </is>
      </c>
      <c r="C113" s="34" t="inlineStr">
        <is>
          <t>腿外展</t>
        </is>
      </c>
      <c r="D113" s="410" t="n">
        <v>4</v>
      </c>
      <c r="E113" s="411" t="n">
        <v>25</v>
      </c>
      <c r="F113" s="411" t="n">
        <v>15</v>
      </c>
      <c r="G113" s="411" t="n">
        <v>2</v>
      </c>
      <c r="H113" s="412">
        <f>IF(OR(E113="",F113=""),"",E113*F113)</f>
        <v/>
      </c>
      <c r="I113" s="44" t="inlineStr">
        <is>
          <t>DBR 2</t>
        </is>
      </c>
    </row>
    <row r="114">
      <c r="A114" s="403" t="n">
        <v>46258</v>
      </c>
      <c r="B114" s="34" t="inlineStr">
        <is>
          <t>重訓</t>
        </is>
      </c>
      <c r="C114" s="34" t="inlineStr">
        <is>
          <t>腿外展</t>
        </is>
      </c>
      <c r="D114" s="410" t="n">
        <v>5</v>
      </c>
      <c r="E114" s="411" t="n">
        <v>25</v>
      </c>
      <c r="F114" s="411" t="n">
        <v>15</v>
      </c>
      <c r="G114" s="411" t="n">
        <v>1</v>
      </c>
      <c r="H114" s="412">
        <f>IF(OR(E114="",F114=""),"",E114*F114)</f>
        <v/>
      </c>
      <c r="I114" s="44" t="inlineStr">
        <is>
          <t>DBR 1</t>
        </is>
      </c>
    </row>
    <row r="115">
      <c r="A115" s="403" t="n">
        <v>46262</v>
      </c>
      <c r="B115" s="34" t="inlineStr">
        <is>
          <t>重訓</t>
        </is>
      </c>
      <c r="C115" s="34" t="inlineStr">
        <is>
          <t>上斜胸推</t>
        </is>
      </c>
      <c r="D115" s="410" t="n">
        <v>1</v>
      </c>
      <c r="E115" s="411" t="n">
        <v>25</v>
      </c>
      <c r="F115" s="411" t="n">
        <v>13</v>
      </c>
      <c r="G115" s="411" t="n">
        <v>2</v>
      </c>
      <c r="H115" s="412">
        <f>IF(OR(E115="",F115=""),"",E115*F115)</f>
        <v/>
      </c>
      <c r="I115" s="44" t="inlineStr">
        <is>
          <t>DBR 2</t>
        </is>
      </c>
    </row>
    <row r="116">
      <c r="A116" s="403" t="n">
        <v>46262</v>
      </c>
      <c r="B116" s="34" t="inlineStr">
        <is>
          <t>重訓</t>
        </is>
      </c>
      <c r="C116" s="34" t="inlineStr">
        <is>
          <t>上斜胸推</t>
        </is>
      </c>
      <c r="D116" s="410" t="n">
        <v>2</v>
      </c>
      <c r="E116" s="411" t="n">
        <v>25</v>
      </c>
      <c r="F116" s="411" t="n">
        <v>12</v>
      </c>
      <c r="G116" s="411" t="n">
        <v>3</v>
      </c>
      <c r="H116" s="412">
        <f>IF(OR(E116="",F116=""),"",E116*F116)</f>
        <v/>
      </c>
      <c r="I116" s="44" t="inlineStr">
        <is>
          <t>DBR 3</t>
        </is>
      </c>
    </row>
    <row r="117">
      <c r="A117" s="403" t="n">
        <v>46262</v>
      </c>
      <c r="B117" s="34" t="inlineStr">
        <is>
          <t>重訓</t>
        </is>
      </c>
      <c r="C117" s="34" t="inlineStr">
        <is>
          <t>上斜胸推</t>
        </is>
      </c>
      <c r="D117" s="410" t="n">
        <v>3</v>
      </c>
      <c r="E117" s="411" t="n">
        <v>25</v>
      </c>
      <c r="F117" s="411" t="n">
        <v>13</v>
      </c>
      <c r="G117" s="411" t="n">
        <v>1</v>
      </c>
      <c r="H117" s="412">
        <f>IF(OR(E117="",F117=""),"",E117*F117)</f>
        <v/>
      </c>
      <c r="I117" s="44" t="inlineStr">
        <is>
          <t>DBR 1</t>
        </is>
      </c>
    </row>
    <row r="118">
      <c r="A118" s="403" t="n">
        <v>46262</v>
      </c>
      <c r="B118" s="34" t="inlineStr">
        <is>
          <t>重訓</t>
        </is>
      </c>
      <c r="C118" s="34" t="inlineStr">
        <is>
          <t>上斜胸推</t>
        </is>
      </c>
      <c r="D118" s="410" t="n">
        <v>4</v>
      </c>
      <c r="E118" s="411" t="n">
        <v>25</v>
      </c>
      <c r="F118" s="411" t="n">
        <v>10</v>
      </c>
      <c r="G118" s="411" t="n">
        <v>0</v>
      </c>
      <c r="H118" s="412">
        <f>IF(OR(E118="",F118=""),"",E118*F118)</f>
        <v/>
      </c>
      <c r="I118" s="44" t="inlineStr">
        <is>
          <t>DBR 0</t>
        </is>
      </c>
    </row>
    <row r="119">
      <c r="A119" s="403" t="n">
        <v>46262</v>
      </c>
      <c r="B119" s="34" t="inlineStr">
        <is>
          <t>重訓</t>
        </is>
      </c>
      <c r="C119" s="34" t="inlineStr">
        <is>
          <t>羅馬尼亞分腿蹲</t>
        </is>
      </c>
      <c r="D119" s="410" t="n">
        <v>1</v>
      </c>
      <c r="E119" s="411" t="n">
        <v>5</v>
      </c>
      <c r="F119" s="411" t="n">
        <v>12</v>
      </c>
      <c r="G119" s="411" t="n">
        <v>3</v>
      </c>
      <c r="H119" s="412">
        <f>IF(OR(E119="",F119=""),"",E119*F119)</f>
        <v/>
      </c>
      <c r="I119" s="44" t="inlineStr">
        <is>
          <t>左腳；額外加重 5 kg；DBR 3</t>
        </is>
      </c>
    </row>
    <row r="120">
      <c r="A120" s="403" t="n">
        <v>46262</v>
      </c>
      <c r="B120" s="34" t="inlineStr">
        <is>
          <t>重訓</t>
        </is>
      </c>
      <c r="C120" s="34" t="inlineStr">
        <is>
          <t>羅馬尼亞分腿蹲</t>
        </is>
      </c>
      <c r="D120" s="410" t="n">
        <v>2</v>
      </c>
      <c r="E120" s="411" t="n">
        <v>5</v>
      </c>
      <c r="F120" s="411" t="n">
        <v>12</v>
      </c>
      <c r="G120" s="411" t="n">
        <v>3</v>
      </c>
      <c r="H120" s="412">
        <f>IF(OR(E120="",F120=""),"",E120*F120)</f>
        <v/>
      </c>
      <c r="I120" s="44" t="inlineStr">
        <is>
          <t>右腳；額外加重 5 kg；DBR 3</t>
        </is>
      </c>
    </row>
    <row r="121">
      <c r="A121" s="403" t="n">
        <v>46262</v>
      </c>
      <c r="B121" s="34" t="inlineStr">
        <is>
          <t>重訓</t>
        </is>
      </c>
      <c r="C121" s="34" t="inlineStr">
        <is>
          <t>羅馬尼亞分腿蹲</t>
        </is>
      </c>
      <c r="D121" s="410" t="n">
        <v>3</v>
      </c>
      <c r="E121" s="411" t="n">
        <v>5</v>
      </c>
      <c r="F121" s="411" t="n">
        <v>15</v>
      </c>
      <c r="G121" s="411" t="n">
        <v>2</v>
      </c>
      <c r="H121" s="412">
        <f>IF(OR(E121="",F121=""),"",E121*F121)</f>
        <v/>
      </c>
      <c r="I121" s="44" t="inlineStr">
        <is>
          <t>左腳；額外加重 5 kg；DBR 2</t>
        </is>
      </c>
    </row>
    <row r="122">
      <c r="A122" s="403" t="n">
        <v>46262</v>
      </c>
      <c r="B122" s="34" t="inlineStr">
        <is>
          <t>重訓</t>
        </is>
      </c>
      <c r="C122" s="34" t="inlineStr">
        <is>
          <t>羅馬尼亞分腿蹲</t>
        </is>
      </c>
      <c r="D122" s="410" t="n">
        <v>4</v>
      </c>
      <c r="E122" s="411" t="n">
        <v>5</v>
      </c>
      <c r="F122" s="411" t="n">
        <v>15</v>
      </c>
      <c r="G122" s="411" t="n">
        <v>3</v>
      </c>
      <c r="H122" s="412">
        <f>IF(OR(E122="",F122=""),"",E122*F122)</f>
        <v/>
      </c>
      <c r="I122" s="44" t="inlineStr">
        <is>
          <t>右腳；額外加重 5 kg；DBR 3</t>
        </is>
      </c>
    </row>
    <row r="123">
      <c r="A123" s="403" t="n">
        <v>46262</v>
      </c>
      <c r="B123" s="34" t="inlineStr">
        <is>
          <t>重訓</t>
        </is>
      </c>
      <c r="C123" s="34" t="inlineStr">
        <is>
          <t>羅馬尼亞分腿蹲</t>
        </is>
      </c>
      <c r="D123" s="410" t="n">
        <v>5</v>
      </c>
      <c r="E123" s="411" t="n">
        <v>5</v>
      </c>
      <c r="F123" s="411" t="n">
        <v>13</v>
      </c>
      <c r="G123" s="411" t="n">
        <v>1</v>
      </c>
      <c r="H123" s="412">
        <f>IF(OR(E123="",F123=""),"",E123*F123)</f>
        <v/>
      </c>
      <c r="I123" s="44" t="inlineStr">
        <is>
          <t>左腳；額外加重 5 kg；DBR 1</t>
        </is>
      </c>
    </row>
    <row r="124">
      <c r="A124" s="403" t="n">
        <v>46262</v>
      </c>
      <c r="B124" s="34" t="inlineStr">
        <is>
          <t>重訓</t>
        </is>
      </c>
      <c r="C124" s="34" t="inlineStr">
        <is>
          <t>羅馬尼亞分腿蹲</t>
        </is>
      </c>
      <c r="D124" s="410" t="n">
        <v>6</v>
      </c>
      <c r="E124" s="411" t="n">
        <v>5</v>
      </c>
      <c r="F124" s="411" t="n">
        <v>13</v>
      </c>
      <c r="G124" s="411" t="n">
        <v>2</v>
      </c>
      <c r="H124" s="412">
        <f>IF(OR(E124="",F124=""),"",E124*F124)</f>
        <v/>
      </c>
      <c r="I124" s="44" t="inlineStr">
        <is>
          <t>右腳；額外加重 5 kg；DBR 2</t>
        </is>
      </c>
    </row>
    <row r="125">
      <c r="A125" s="403" t="n">
        <v>46262</v>
      </c>
      <c r="B125" s="34" t="inlineStr">
        <is>
          <t>重訓</t>
        </is>
      </c>
      <c r="C125" s="34" t="inlineStr">
        <is>
          <t>羅馬尼亞分腿蹲</t>
        </is>
      </c>
      <c r="D125" s="410" t="n">
        <v>7</v>
      </c>
      <c r="E125" s="411" t="n">
        <v>5</v>
      </c>
      <c r="F125" s="411" t="n">
        <v>15</v>
      </c>
      <c r="G125" s="411" t="n">
        <v>1</v>
      </c>
      <c r="H125" s="412">
        <f>IF(OR(E125="",F125=""),"",E125*F125)</f>
        <v/>
      </c>
      <c r="I125" s="44" t="inlineStr">
        <is>
          <t>左腳；額外加重 5 kg；DBR 1</t>
        </is>
      </c>
    </row>
    <row r="126">
      <c r="A126" s="403" t="n">
        <v>46262</v>
      </c>
      <c r="B126" s="34" t="inlineStr">
        <is>
          <t>重訓</t>
        </is>
      </c>
      <c r="C126" s="34" t="inlineStr">
        <is>
          <t>羅馬尼亞分腿蹲</t>
        </is>
      </c>
      <c r="D126" s="410" t="n">
        <v>8</v>
      </c>
      <c r="E126" s="411" t="n">
        <v>5</v>
      </c>
      <c r="F126" s="411" t="n">
        <v>15</v>
      </c>
      <c r="G126" s="411" t="n">
        <v>1</v>
      </c>
      <c r="H126" s="412">
        <f>IF(OR(E126="",F126=""),"",E126*F126)</f>
        <v/>
      </c>
      <c r="I126" s="44" t="inlineStr">
        <is>
          <t>右腳；額外加重 5 kg；DBR 1</t>
        </is>
      </c>
    </row>
    <row r="127">
      <c r="A127" s="403" t="n">
        <v>46262</v>
      </c>
      <c r="B127" s="34" t="inlineStr">
        <is>
          <t>重訓</t>
        </is>
      </c>
      <c r="C127" s="34" t="inlineStr">
        <is>
          <t>臀推機</t>
        </is>
      </c>
      <c r="D127" s="410" t="n">
        <v>1</v>
      </c>
      <c r="E127" s="411" t="n">
        <v>20</v>
      </c>
      <c r="F127" s="411" t="n">
        <v>12</v>
      </c>
      <c r="G127" s="411" t="n">
        <v>3</v>
      </c>
      <c r="H127" s="412">
        <f>IF(OR(E127="",F127=""),"",E127*F127)</f>
        <v/>
      </c>
      <c r="I127" s="44" t="inlineStr">
        <is>
          <t>使用者回報；今天因先前30kg後骨盆後側曾痛超過一週，改以20kg回測。</t>
        </is>
      </c>
    </row>
    <row r="128">
      <c r="A128" s="403" t="n">
        <v>46262</v>
      </c>
      <c r="B128" s="34" t="inlineStr">
        <is>
          <t>重訓</t>
        </is>
      </c>
      <c r="C128" s="34" t="inlineStr">
        <is>
          <t>臀推機</t>
        </is>
      </c>
      <c r="D128" s="410" t="n">
        <v>2</v>
      </c>
      <c r="E128" s="411" t="n">
        <v>20</v>
      </c>
      <c r="F128" s="411" t="n">
        <v>12</v>
      </c>
      <c r="G128" s="411" t="n">
        <v>2</v>
      </c>
      <c r="H128" s="412">
        <f>IF(OR(E128="",F128=""),"",E128*F128)</f>
        <v/>
      </c>
      <c r="I128" s="44" t="inlineStr">
        <is>
          <t>使用者回報。</t>
        </is>
      </c>
    </row>
    <row r="129">
      <c r="A129" s="403" t="n">
        <v>46262</v>
      </c>
      <c r="B129" s="34" t="inlineStr">
        <is>
          <t>重訓</t>
        </is>
      </c>
      <c r="C129" s="34" t="inlineStr">
        <is>
          <t>臀推機</t>
        </is>
      </c>
      <c r="D129" s="410" t="n">
        <v>3</v>
      </c>
      <c r="E129" s="411" t="n">
        <v>20</v>
      </c>
      <c r="F129" s="411" t="n">
        <v>12</v>
      </c>
      <c r="G129" s="411" t="n">
        <v>2</v>
      </c>
      <c r="H129" s="412">
        <f>IF(OR(E129="",F129=""),"",E129*F129)</f>
        <v/>
      </c>
      <c r="I129" s="44" t="inlineStr">
        <is>
          <t>使用者回報。 完成第3組後骨盆後側微痛；臀推當日停止。</t>
        </is>
      </c>
    </row>
    <row r="130">
      <c r="A130" s="403" t="n">
        <v>46262</v>
      </c>
      <c r="B130" s="34" t="inlineStr">
        <is>
          <t>重訓</t>
        </is>
      </c>
      <c r="C130" s="34" t="inlineStr">
        <is>
          <t>飛鳥夾胸</t>
        </is>
      </c>
      <c r="D130" s="410" t="n">
        <v>1</v>
      </c>
      <c r="E130" s="411" t="n">
        <v>20</v>
      </c>
      <c r="F130" s="411" t="n">
        <v>15</v>
      </c>
      <c r="G130" s="411" t="n">
        <v>3</v>
      </c>
      <c r="H130" s="412">
        <f>IF(OR(E130="",F130=""),"",E130*F130)</f>
        <v/>
      </c>
      <c r="I130" s="44" t="inlineStr">
        <is>
          <t>使用者回報。</t>
        </is>
      </c>
    </row>
    <row r="131">
      <c r="A131" s="403" t="n">
        <v>46262</v>
      </c>
      <c r="B131" s="34" t="inlineStr">
        <is>
          <t>重訓</t>
        </is>
      </c>
      <c r="C131" s="34" t="inlineStr">
        <is>
          <t>飛鳥夾胸</t>
        </is>
      </c>
      <c r="D131" s="410" t="n">
        <v>2</v>
      </c>
      <c r="E131" s="411" t="n">
        <v>20</v>
      </c>
      <c r="F131" s="411" t="n">
        <v>14</v>
      </c>
      <c r="G131" s="411" t="n">
        <v>2</v>
      </c>
      <c r="H131" s="412">
        <f>IF(OR(E131="",F131=""),"",E131*F131)</f>
        <v/>
      </c>
      <c r="I131" s="44" t="inlineStr">
        <is>
          <t>重量未重複提供，沿用上一組 20 kg。</t>
        </is>
      </c>
    </row>
    <row r="132">
      <c r="A132" s="403" t="n">
        <v>46262</v>
      </c>
      <c r="B132" s="34" t="inlineStr">
        <is>
          <t>重訓</t>
        </is>
      </c>
      <c r="C132" s="34" t="inlineStr">
        <is>
          <t>飛鳥夾胸</t>
        </is>
      </c>
      <c r="D132" s="410" t="n">
        <v>3</v>
      </c>
      <c r="E132" s="411" t="n">
        <v>20</v>
      </c>
      <c r="F132" s="411" t="n">
        <v>12</v>
      </c>
      <c r="G132" s="411" t="n">
        <v>1</v>
      </c>
      <c r="H132" s="412">
        <f>IF(OR(E132="",F132=""),"",E132*F132)</f>
        <v/>
      </c>
      <c r="I132" s="44" t="inlineStr">
        <is>
          <t>重量未重複提供，沿用上一組 20 kg。</t>
        </is>
      </c>
    </row>
    <row r="133">
      <c r="A133" s="403" t="n">
        <v>46262</v>
      </c>
      <c r="B133" s="34" t="inlineStr">
        <is>
          <t>重訓</t>
        </is>
      </c>
      <c r="C133" s="34" t="inlineStr">
        <is>
          <t>飛鳥夾胸</t>
        </is>
      </c>
      <c r="D133" s="410" t="n">
        <v>4</v>
      </c>
      <c r="E133" s="411" t="n">
        <v>20</v>
      </c>
      <c r="F133" s="411" t="n">
        <v>10</v>
      </c>
      <c r="G133" s="411" t="n">
        <v>0</v>
      </c>
      <c r="H133" s="412">
        <f>IF(OR(E133="",F133=""),"",E133*F133)</f>
        <v/>
      </c>
      <c r="I133" s="44" t="inlineStr">
        <is>
          <t>重量未重複提供，沿用上一組 20 kg。</t>
        </is>
      </c>
    </row>
    <row r="134">
      <c r="A134" s="403" t="n">
        <v>46270</v>
      </c>
      <c r="B134" s="34" t="inlineStr">
        <is>
          <t>重訓</t>
        </is>
      </c>
      <c r="C134" s="34" t="inlineStr">
        <is>
          <t>上斜胸推</t>
        </is>
      </c>
      <c r="D134" s="410" t="n">
        <v>1</v>
      </c>
      <c r="E134" s="411" t="n">
        <v>15</v>
      </c>
      <c r="F134" s="411" t="n">
        <v>15</v>
      </c>
      <c r="G134" s="411" t="n">
        <v>5</v>
      </c>
      <c r="H134" s="412">
        <f>IF(OR(E134="",F134=""),"",E134*F134)</f>
        <v/>
      </c>
      <c r="I134" s="44" t="inlineStr">
        <is>
          <t>椅背30度；啞鈴兩支合計15kg（每手7.5kg）。過去45度上斜胸推不再作有效重量基準；本日重新建立30度基準。</t>
        </is>
      </c>
    </row>
    <row r="135">
      <c r="A135" s="403" t="n">
        <v>46270</v>
      </c>
      <c r="B135" s="34" t="inlineStr">
        <is>
          <t>重訓</t>
        </is>
      </c>
      <c r="C135" s="34" t="inlineStr">
        <is>
          <t>上斜胸推</t>
        </is>
      </c>
      <c r="D135" s="410" t="n">
        <v>2</v>
      </c>
      <c r="E135" s="411" t="n">
        <v>20</v>
      </c>
      <c r="F135" s="411" t="n">
        <v>15</v>
      </c>
      <c r="G135" s="411" t="n">
        <v>3</v>
      </c>
      <c r="H135" s="412">
        <f>IF(OR(E135="",F135=""),"",E135*F135)</f>
        <v/>
      </c>
      <c r="I135" s="44" t="inlineStr">
        <is>
          <t>椅背30度；啞鈴兩支合計20kg（每手10kg）。</t>
        </is>
      </c>
    </row>
    <row r="136">
      <c r="A136" s="403" t="n">
        <v>46270</v>
      </c>
      <c r="B136" s="34" t="inlineStr">
        <is>
          <t>重訓</t>
        </is>
      </c>
      <c r="C136" s="34" t="inlineStr">
        <is>
          <t>上斜胸推</t>
        </is>
      </c>
      <c r="D136" s="410" t="n">
        <v>3</v>
      </c>
      <c r="E136" s="411" t="n">
        <v>20</v>
      </c>
      <c r="F136" s="411" t="n">
        <v>15</v>
      </c>
      <c r="G136" s="411" t="n">
        <v>3</v>
      </c>
      <c r="H136" s="412">
        <f>IF(OR(E136="",F136=""),"",E136*F136)</f>
        <v/>
      </c>
      <c r="I136" s="44" t="inlineStr">
        <is>
          <t>椅背30度；啞鈴兩支合計20kg（每手10kg）。</t>
        </is>
      </c>
    </row>
    <row r="137">
      <c r="A137" s="403" t="n">
        <v>46270</v>
      </c>
      <c r="B137" s="34" t="inlineStr">
        <is>
          <t>重訓</t>
        </is>
      </c>
      <c r="C137" s="34" t="inlineStr">
        <is>
          <t>上斜胸推</t>
        </is>
      </c>
      <c r="D137" s="410" t="n">
        <v>4</v>
      </c>
      <c r="E137" s="411" t="n">
        <v>25</v>
      </c>
      <c r="F137" s="411" t="n">
        <v>13</v>
      </c>
      <c r="G137" s="411" t="n">
        <v>1</v>
      </c>
      <c r="H137" s="412">
        <f>IF(OR(E137="",F137=""),"",E137*F137)</f>
        <v/>
      </c>
      <c r="I137" s="44" t="inlineStr">
        <is>
          <t>椅背30度；啞鈴兩支合計25kg（每手12.5kg）。</t>
        </is>
      </c>
    </row>
    <row r="138">
      <c r="A138" s="403" t="n">
        <v>46270</v>
      </c>
      <c r="B138" s="34" t="inlineStr">
        <is>
          <t>重訓</t>
        </is>
      </c>
      <c r="C138" s="34" t="inlineStr">
        <is>
          <t>上斜胸推</t>
        </is>
      </c>
      <c r="D138" s="410" t="n">
        <v>5</v>
      </c>
      <c r="E138" s="411" t="n">
        <v>25</v>
      </c>
      <c r="F138" s="411" t="n">
        <v>8</v>
      </c>
      <c r="G138" s="411" t="n">
        <v>0</v>
      </c>
      <c r="H138" s="412">
        <f>IF(OR(E138="",F138=""),"",E138*F138)</f>
        <v/>
      </c>
      <c r="I138" s="44" t="inlineStr">
        <is>
          <t>椅背30度；啞鈴兩支合計25kg（每手12.5kg）；本組力竭。使用者回報今日二頭肌明顯疲勞。</t>
        </is>
      </c>
    </row>
    <row r="139">
      <c r="A139" s="403" t="n">
        <v>46270</v>
      </c>
      <c r="B139" s="34" t="inlineStr">
        <is>
          <t>重訓</t>
        </is>
      </c>
      <c r="C139" s="34" t="inlineStr">
        <is>
          <t>羅馬尼亞分腿蹲</t>
        </is>
      </c>
      <c r="D139" s="410" t="n">
        <v>1</v>
      </c>
      <c r="E139" s="411" t="n">
        <v>10</v>
      </c>
      <c r="F139" s="411" t="n">
        <v>15</v>
      </c>
      <c r="G139" s="411" t="n">
        <v>3</v>
      </c>
      <c r="H139" s="412">
        <f>IF(OR(E139="",F139=""),"",E139*F139)</f>
        <v/>
      </c>
      <c r="I139" s="44" t="inlineStr">
        <is>
          <t>左腳；每手5kg，兩手總負重10kg。</t>
        </is>
      </c>
    </row>
    <row r="140">
      <c r="A140" s="403" t="n">
        <v>46270</v>
      </c>
      <c r="B140" s="34" t="inlineStr">
        <is>
          <t>重訓</t>
        </is>
      </c>
      <c r="C140" s="34" t="inlineStr">
        <is>
          <t>羅馬尼亞分腿蹲</t>
        </is>
      </c>
      <c r="D140" s="410" t="n">
        <v>2</v>
      </c>
      <c r="E140" s="411" t="n">
        <v>10</v>
      </c>
      <c r="F140" s="411" t="n">
        <v>15</v>
      </c>
      <c r="G140" s="411" t="n">
        <v>3</v>
      </c>
      <c r="H140" s="412">
        <f>IF(OR(E140="",F140=""),"",E140*F140)</f>
        <v/>
      </c>
      <c r="I140" s="44" t="inlineStr">
        <is>
          <t>右腳；每手5kg，兩手總負重10kg。</t>
        </is>
      </c>
    </row>
    <row r="141">
      <c r="A141" s="403" t="n">
        <v>46270</v>
      </c>
      <c r="B141" s="34" t="inlineStr">
        <is>
          <t>重訓</t>
        </is>
      </c>
      <c r="C141" s="34" t="inlineStr">
        <is>
          <t>羅馬尼亞分腿蹲</t>
        </is>
      </c>
      <c r="D141" s="410" t="n">
        <v>3</v>
      </c>
      <c r="E141" s="411" t="n">
        <v>10</v>
      </c>
      <c r="F141" s="411" t="n">
        <v>15</v>
      </c>
      <c r="G141" s="411" t="n">
        <v>2</v>
      </c>
      <c r="H141" s="412">
        <f>IF(OR(E141="",F141=""),"",E141*F141)</f>
        <v/>
      </c>
      <c r="I141" s="44" t="inlineStr">
        <is>
          <t>左腳；每手5kg，兩手總負重10kg。</t>
        </is>
      </c>
    </row>
    <row r="142">
      <c r="A142" s="403" t="n">
        <v>46270</v>
      </c>
      <c r="B142" s="34" t="inlineStr">
        <is>
          <t>重訓</t>
        </is>
      </c>
      <c r="C142" s="34" t="inlineStr">
        <is>
          <t>羅馬尼亞分腿蹲</t>
        </is>
      </c>
      <c r="D142" s="410" t="n">
        <v>4</v>
      </c>
      <c r="E142" s="411" t="n">
        <v>10</v>
      </c>
      <c r="F142" s="411" t="n">
        <v>15</v>
      </c>
      <c r="G142" s="411" t="n">
        <v>2</v>
      </c>
      <c r="H142" s="412">
        <f>IF(OR(E142="",F142=""),"",E142*F142)</f>
        <v/>
      </c>
      <c r="I142" s="44" t="inlineStr">
        <is>
          <t>右腳；每手5kg，兩手總負重10kg。</t>
        </is>
      </c>
    </row>
    <row r="143">
      <c r="A143" s="403" t="n">
        <v>46270</v>
      </c>
      <c r="B143" s="34" t="inlineStr">
        <is>
          <t>重訓</t>
        </is>
      </c>
      <c r="C143" s="34" t="inlineStr">
        <is>
          <t>羅馬尼亞分腿蹲</t>
        </is>
      </c>
      <c r="D143" s="410" t="n">
        <v>5</v>
      </c>
      <c r="E143" s="411" t="n">
        <v>10</v>
      </c>
      <c r="F143" s="411" t="n">
        <v>15</v>
      </c>
      <c r="G143" s="411" t="n">
        <v>1</v>
      </c>
      <c r="H143" s="412">
        <f>IF(OR(E143="",F143=""),"",E143*F143)</f>
        <v/>
      </c>
      <c r="I143" s="44" t="inlineStr">
        <is>
          <t>左腳；每手5kg，兩手總負重10kg。</t>
        </is>
      </c>
    </row>
    <row r="144">
      <c r="A144" s="403" t="n">
        <v>46270</v>
      </c>
      <c r="B144" s="34" t="inlineStr">
        <is>
          <t>重訓</t>
        </is>
      </c>
      <c r="C144" s="34" t="inlineStr">
        <is>
          <t>羅馬尼亞分腿蹲</t>
        </is>
      </c>
      <c r="D144" s="410" t="n">
        <v>6</v>
      </c>
      <c r="E144" s="411" t="n">
        <v>10</v>
      </c>
      <c r="F144" s="411" t="n">
        <v>11</v>
      </c>
      <c r="G144" s="411" t="n">
        <v>1</v>
      </c>
      <c r="H144" s="412">
        <f>IF(OR(E144="",F144=""),"",E144*F144)</f>
        <v/>
      </c>
      <c r="I144" s="44" t="inlineStr">
        <is>
          <t>右腳；每手5kg，兩手總負重10kg。</t>
        </is>
      </c>
    </row>
    <row r="145">
      <c r="A145" s="403" t="n">
        <v>46270</v>
      </c>
      <c r="B145" s="34" t="inlineStr">
        <is>
          <t>重訓</t>
        </is>
      </c>
      <c r="C145" s="34" t="inlineStr">
        <is>
          <t>羅馬尼亞分腿蹲</t>
        </is>
      </c>
      <c r="D145" s="410" t="n">
        <v>7</v>
      </c>
      <c r="E145" s="411" t="n">
        <v>10</v>
      </c>
      <c r="F145" s="411" t="n">
        <v>11</v>
      </c>
      <c r="G145" s="411" t="n">
        <v>2</v>
      </c>
      <c r="H145" s="412">
        <f>IF(OR(E145="",F145=""),"",E145*F145)</f>
        <v/>
      </c>
      <c r="I145" s="44" t="inlineStr">
        <is>
          <t>左腳；每手5kg，兩手總負重10kg；最後一輪右腳先做。</t>
        </is>
      </c>
    </row>
    <row r="146">
      <c r="A146" s="403" t="n">
        <v>46270</v>
      </c>
      <c r="B146" s="34" t="inlineStr">
        <is>
          <t>重訓</t>
        </is>
      </c>
      <c r="C146" s="34" t="inlineStr">
        <is>
          <t>羅馬尼亞分腿蹲</t>
        </is>
      </c>
      <c r="D146" s="410" t="n">
        <v>8</v>
      </c>
      <c r="E146" s="411" t="n">
        <v>10</v>
      </c>
      <c r="F146" s="411" t="n">
        <v>11</v>
      </c>
      <c r="G146" s="411" t="n">
        <v>1</v>
      </c>
      <c r="H146" s="412">
        <f>IF(OR(E146="",F146=""),"",E146*F146)</f>
        <v/>
      </c>
      <c r="I146" s="44" t="inlineStr">
        <is>
          <t>右腳；每手5kg，兩手總負重10kg；最後一輪右腳先做。</t>
        </is>
      </c>
    </row>
    <row r="147">
      <c r="A147" s="403" t="n">
        <v>46270</v>
      </c>
      <c r="B147" s="34" t="inlineStr">
        <is>
          <t>重訓</t>
        </is>
      </c>
      <c r="C147" s="34" t="inlineStr">
        <is>
          <t>滑輪下拉</t>
        </is>
      </c>
      <c r="D147" s="410" t="n">
        <v>1</v>
      </c>
      <c r="E147" s="411" t="n">
        <v>30</v>
      </c>
      <c r="F147" s="411" t="n">
        <v>15</v>
      </c>
      <c r="G147" s="411" t="n">
        <v>4</v>
      </c>
      <c r="H147" s="412">
        <f>IF(OR(E147="",F147=""),"",E147*F147)</f>
        <v/>
      </c>
      <c r="I147" s="44" t="inlineStr">
        <is>
          <t>使用者更正第一組重量為30kg，非37.5kg。</t>
        </is>
      </c>
    </row>
    <row r="148">
      <c r="A148" s="403" t="n">
        <v>46270</v>
      </c>
      <c r="B148" s="34" t="inlineStr">
        <is>
          <t>重訓</t>
        </is>
      </c>
      <c r="C148" s="34" t="inlineStr">
        <is>
          <t>滑輪下拉</t>
        </is>
      </c>
      <c r="D148" s="410" t="n">
        <v>2</v>
      </c>
      <c r="E148" s="411" t="n">
        <v>37.5</v>
      </c>
      <c r="F148" s="411" t="n">
        <v>14</v>
      </c>
      <c r="G148" s="411" t="n">
        <v>2</v>
      </c>
      <c r="H148" s="412">
        <f>IF(OR(E148="",F148=""),"",E148*F148)</f>
        <v/>
      </c>
      <c r="I148" s="44" t="inlineStr">
        <is>
          <t>使用者回報。</t>
        </is>
      </c>
    </row>
    <row r="149">
      <c r="A149" s="403" t="n">
        <v>46270</v>
      </c>
      <c r="B149" s="34" t="inlineStr">
        <is>
          <t>重訓</t>
        </is>
      </c>
      <c r="C149" s="34" t="inlineStr">
        <is>
          <t>滑輪下拉</t>
        </is>
      </c>
      <c r="D149" s="410" t="n">
        <v>3</v>
      </c>
      <c r="E149" s="411" t="n">
        <v>37.5</v>
      </c>
      <c r="F149" s="411" t="n">
        <v>12</v>
      </c>
      <c r="G149" s="411" t="n">
        <v>2</v>
      </c>
      <c r="H149" s="412">
        <f>IF(OR(E149="",F149=""),"",E149*F149)</f>
        <v/>
      </c>
      <c r="I149" s="44" t="inlineStr">
        <is>
          <t>使用者回報。</t>
        </is>
      </c>
    </row>
    <row r="150">
      <c r="A150" s="403" t="n">
        <v>46270</v>
      </c>
      <c r="B150" s="34" t="inlineStr">
        <is>
          <t>重訓</t>
        </is>
      </c>
      <c r="C150" s="34" t="inlineStr">
        <is>
          <t>滑輪下拉</t>
        </is>
      </c>
      <c r="D150" s="410" t="n">
        <v>4</v>
      </c>
      <c r="E150" s="411" t="n">
        <v>37.5</v>
      </c>
      <c r="F150" s="411" t="n">
        <v>12</v>
      </c>
      <c r="G150" s="411" t="n">
        <v>1</v>
      </c>
      <c r="H150" s="412">
        <f>IF(OR(E150="",F150=""),"",E150*F150)</f>
        <v/>
      </c>
      <c r="I150" s="44" t="inlineStr">
        <is>
          <t>使用者回報。</t>
        </is>
      </c>
    </row>
    <row r="151">
      <c r="A151" s="403" t="n">
        <v>46270</v>
      </c>
      <c r="B151" s="34" t="inlineStr">
        <is>
          <t>重訓</t>
        </is>
      </c>
      <c r="C151" s="34" t="inlineStr">
        <is>
          <t>反向飛鳥</t>
        </is>
      </c>
      <c r="D151" s="410" t="n">
        <v>1</v>
      </c>
      <c r="E151" s="411" t="n">
        <v>20</v>
      </c>
      <c r="F151" s="411" t="n">
        <v>8</v>
      </c>
      <c r="G151" s="411" t="n">
        <v>1</v>
      </c>
      <c r="H151" s="412">
        <f>IF(OR(E151="",F151=""),"",E151*F151)</f>
        <v/>
      </c>
      <c r="I151" s="44" t="inlineStr">
        <is>
          <t>使用者回報。</t>
        </is>
      </c>
    </row>
    <row r="152">
      <c r="A152" s="403" t="n">
        <v>46270</v>
      </c>
      <c r="B152" s="34" t="inlineStr">
        <is>
          <t>重訓</t>
        </is>
      </c>
      <c r="C152" s="34" t="inlineStr">
        <is>
          <t>反向飛鳥</t>
        </is>
      </c>
      <c r="D152" s="410" t="n">
        <v>2</v>
      </c>
      <c r="E152" s="411" t="n">
        <v>15</v>
      </c>
      <c r="F152" s="411" t="n">
        <v>11</v>
      </c>
      <c r="G152" s="411" t="n">
        <v>1</v>
      </c>
      <c r="H152" s="412">
        <f>IF(OR(E152="",F152=""),"",E152*F152)</f>
        <v/>
      </c>
      <c r="I152" s="44" t="inlineStr">
        <is>
          <t>使用者回報。</t>
        </is>
      </c>
    </row>
    <row r="153">
      <c r="A153" s="403" t="n">
        <v>46270</v>
      </c>
      <c r="B153" s="34" t="inlineStr">
        <is>
          <t>重訓</t>
        </is>
      </c>
      <c r="C153" s="34" t="inlineStr">
        <is>
          <t>反向飛鳥</t>
        </is>
      </c>
      <c r="D153" s="410" t="n">
        <v>3</v>
      </c>
      <c r="E153" s="411" t="n">
        <v>15</v>
      </c>
      <c r="F153" s="411" t="n">
        <v>12</v>
      </c>
      <c r="G153" s="411" t="n">
        <v>0</v>
      </c>
      <c r="H153" s="412">
        <f>IF(OR(E153="",F153=""),"",E153*F153)</f>
        <v/>
      </c>
      <c r="I153" s="44" t="inlineStr">
        <is>
          <t>使用者回報；本組力竭。</t>
        </is>
      </c>
    </row>
    <row r="154">
      <c r="A154" s="403" t="n">
        <v>46270</v>
      </c>
      <c r="B154" s="34" t="inlineStr">
        <is>
          <t>重訓</t>
        </is>
      </c>
      <c r="C154" s="34" t="inlineStr">
        <is>
          <t>腿內收</t>
        </is>
      </c>
      <c r="D154" s="410" t="n">
        <v>1</v>
      </c>
      <c r="E154" s="411" t="n">
        <v>37.5</v>
      </c>
      <c r="F154" s="411" t="n">
        <v>13</v>
      </c>
      <c r="G154" s="411" t="n">
        <v>2</v>
      </c>
      <c r="H154" s="412">
        <f>IF(OR(E154="",F154=""),"",E154*F154)</f>
        <v/>
      </c>
      <c r="I154" s="44" t="inlineStr">
        <is>
          <t>使用者回報。</t>
        </is>
      </c>
    </row>
    <row r="155">
      <c r="A155" s="403" t="n">
        <v>46270</v>
      </c>
      <c r="B155" s="34" t="inlineStr">
        <is>
          <t>重訓</t>
        </is>
      </c>
      <c r="C155" s="34" t="inlineStr">
        <is>
          <t>腿內收</t>
        </is>
      </c>
      <c r="D155" s="410" t="n">
        <v>2</v>
      </c>
      <c r="E155" s="411" t="n">
        <v>37.5</v>
      </c>
      <c r="F155" s="411" t="n">
        <v>14</v>
      </c>
      <c r="G155" s="411" t="n">
        <v>2</v>
      </c>
      <c r="H155" s="412">
        <f>IF(OR(E155="",F155=""),"",E155*F155)</f>
        <v/>
      </c>
      <c r="I155" s="44" t="inlineStr">
        <is>
          <t>使用者回報。</t>
        </is>
      </c>
    </row>
    <row r="156">
      <c r="A156" s="403" t="n">
        <v>46270</v>
      </c>
      <c r="B156" s="34" t="inlineStr">
        <is>
          <t>重訓</t>
        </is>
      </c>
      <c r="C156" s="34" t="inlineStr">
        <is>
          <t>腿內收</t>
        </is>
      </c>
      <c r="D156" s="410" t="n">
        <v>3</v>
      </c>
      <c r="E156" s="411" t="n">
        <v>37.5</v>
      </c>
      <c r="F156" s="411" t="n">
        <v>15</v>
      </c>
      <c r="G156" s="411" t="n">
        <v>0</v>
      </c>
      <c r="H156" s="412">
        <f>IF(OR(E156="",F156=""),"",E156*F156)</f>
        <v/>
      </c>
      <c r="I156" s="44" t="inlineStr">
        <is>
          <t>使用者回報；本組力竭。</t>
        </is>
      </c>
    </row>
    <row r="157">
      <c r="A157" s="403" t="n">
        <v>46272</v>
      </c>
      <c r="B157" s="34" t="inlineStr">
        <is>
          <t>重訓</t>
        </is>
      </c>
      <c r="C157" s="34" t="inlineStr">
        <is>
          <t>上斜胸推</t>
        </is>
      </c>
      <c r="D157" s="410" t="n">
        <v>1</v>
      </c>
      <c r="E157" s="411" t="n">
        <v>25</v>
      </c>
      <c r="F157" s="411" t="n">
        <v>15</v>
      </c>
      <c r="G157" s="411" t="n">
        <v>2</v>
      </c>
      <c r="H157" s="412">
        <f>IF(OR(E157="",F157=""),"",E157*F157)</f>
        <v/>
      </c>
      <c r="I157" s="44" t="inlineStr">
        <is>
          <t>30°啞鈴上斜胸推；重量為兩支啞鈴合計 25 kg（每手 12.5 kg）。</t>
        </is>
      </c>
    </row>
    <row r="158">
      <c r="A158" s="403" t="n">
        <v>46272</v>
      </c>
      <c r="B158" s="34" t="inlineStr">
        <is>
          <t>重訓</t>
        </is>
      </c>
      <c r="C158" s="34" t="inlineStr">
        <is>
          <t>上斜胸推</t>
        </is>
      </c>
      <c r="D158" s="410" t="n">
        <v>2</v>
      </c>
      <c r="E158" s="411" t="n">
        <v>25</v>
      </c>
      <c r="F158" s="411" t="n">
        <v>14</v>
      </c>
      <c r="G158" s="411" t="n">
        <v>2</v>
      </c>
      <c r="H158" s="412">
        <f>IF(OR(E158="",F158=""),"",E158*F158)</f>
        <v/>
      </c>
      <c r="I158" s="44" t="inlineStr">
        <is>
          <t>30°啞鈴上斜胸推；重量為兩支啞鈴合計 25 kg（每手 12.5 kg）。</t>
        </is>
      </c>
    </row>
    <row r="159">
      <c r="A159" s="403" t="n">
        <v>46272</v>
      </c>
      <c r="B159" s="34" t="inlineStr">
        <is>
          <t>重訓</t>
        </is>
      </c>
      <c r="C159" s="34" t="inlineStr">
        <is>
          <t>上斜胸推</t>
        </is>
      </c>
      <c r="D159" s="410" t="n">
        <v>3</v>
      </c>
      <c r="E159" s="411" t="n">
        <v>15</v>
      </c>
      <c r="F159" s="411" t="n">
        <v>11</v>
      </c>
      <c r="G159" s="411" t="n">
        <v>2</v>
      </c>
      <c r="H159" s="412">
        <f>IF(OR(E159="",F159=""),"",E159*F159)</f>
        <v/>
      </c>
      <c r="I159" s="44" t="inlineStr">
        <is>
          <t>30°啞鈴上斜胸推；重量為兩支啞鈴合計 15 kg（每手 7.5 kg）。</t>
        </is>
      </c>
    </row>
    <row r="160">
      <c r="A160" s="403" t="n">
        <v>46272</v>
      </c>
      <c r="B160" s="34" t="inlineStr">
        <is>
          <t>重訓</t>
        </is>
      </c>
      <c r="C160" s="34" t="inlineStr">
        <is>
          <t>上斜胸推</t>
        </is>
      </c>
      <c r="D160" s="410" t="n">
        <v>4</v>
      </c>
      <c r="E160" s="411" t="n">
        <v>20</v>
      </c>
      <c r="F160" s="411" t="n">
        <v>13</v>
      </c>
      <c r="G160" s="411" t="n">
        <v>2</v>
      </c>
      <c r="H160" s="412">
        <f>IF(OR(E160="",F160=""),"",E160*F160)</f>
        <v/>
      </c>
      <c r="I160" s="44" t="inlineStr">
        <is>
          <t>30°啞鈴上斜胸推；重量為兩支啞鈴合計 20 kg（每手 10 kg）。</t>
        </is>
      </c>
    </row>
    <row r="161">
      <c r="A161" s="403" t="n">
        <v>46272</v>
      </c>
      <c r="B161" s="34" t="inlineStr">
        <is>
          <t>重訓</t>
        </is>
      </c>
      <c r="C161" s="34" t="inlineStr">
        <is>
          <t>划船</t>
        </is>
      </c>
      <c r="D161" s="410" t="n">
        <v>1</v>
      </c>
      <c r="E161" s="411" t="n">
        <v>26.5</v>
      </c>
      <c r="F161" s="411" t="n">
        <v>15</v>
      </c>
      <c r="G161" s="411" t="n">
        <v>4</v>
      </c>
      <c r="H161" s="412">
        <f>IF(OR(E161="",F161=""),"",E161*F161)</f>
        <v/>
      </c>
      <c r="I161" s="44" t="inlineStr">
        <is>
          <t>使用者回報。</t>
        </is>
      </c>
    </row>
    <row r="162">
      <c r="A162" s="403" t="n">
        <v>46272</v>
      </c>
      <c r="B162" s="34" t="inlineStr">
        <is>
          <t>重訓</t>
        </is>
      </c>
      <c r="C162" s="34" t="inlineStr">
        <is>
          <t>划船</t>
        </is>
      </c>
      <c r="D162" s="410" t="n">
        <v>2</v>
      </c>
      <c r="E162" s="411" t="n">
        <v>26.5</v>
      </c>
      <c r="F162" s="411" t="n">
        <v>15</v>
      </c>
      <c r="G162" s="411" t="n">
        <v>2</v>
      </c>
      <c r="H162" s="412">
        <f>IF(OR(E162="",F162=""),"",E162*F162)</f>
        <v/>
      </c>
      <c r="I162" s="44" t="inlineStr">
        <is>
          <t>使用者更正：第二組仍為 26.5 kg，非 30 kg。</t>
        </is>
      </c>
    </row>
    <row r="163">
      <c r="A163" s="403" t="n">
        <v>46272</v>
      </c>
      <c r="B163" s="34" t="inlineStr">
        <is>
          <t>重訓</t>
        </is>
      </c>
      <c r="C163" s="34" t="inlineStr">
        <is>
          <t>划船</t>
        </is>
      </c>
      <c r="D163" s="410" t="n">
        <v>3</v>
      </c>
      <c r="E163" s="411" t="n">
        <v>30</v>
      </c>
      <c r="F163" s="411" t="n">
        <v>13</v>
      </c>
      <c r="G163" s="411" t="n">
        <v>2</v>
      </c>
      <c r="H163" s="412">
        <f>IF(OR(E163="",F163=""),"",E163*F163)</f>
        <v/>
      </c>
      <c r="I163" s="44" t="inlineStr">
        <is>
          <t>使用者回報。</t>
        </is>
      </c>
    </row>
    <row r="164">
      <c r="A164" s="403" t="n">
        <v>46272</v>
      </c>
      <c r="B164" s="34" t="inlineStr">
        <is>
          <t>重訓</t>
        </is>
      </c>
      <c r="C164" s="34" t="inlineStr">
        <is>
          <t>划船</t>
        </is>
      </c>
      <c r="D164" s="410" t="n">
        <v>4</v>
      </c>
      <c r="E164" s="411" t="n">
        <v>30</v>
      </c>
      <c r="F164" s="411" t="n">
        <v>13</v>
      </c>
      <c r="G164" s="411" t="n">
        <v>0</v>
      </c>
      <c r="H164" s="412">
        <f>IF(OR(E164="",F164=""),"",E164*F164)</f>
        <v/>
      </c>
      <c r="I164" s="44" t="inlineStr">
        <is>
          <t>使用者回報。</t>
        </is>
      </c>
    </row>
    <row r="165">
      <c r="A165" s="403" t="n">
        <v>46272</v>
      </c>
      <c r="B165" s="34" t="inlineStr">
        <is>
          <t>重訓</t>
        </is>
      </c>
      <c r="C165" s="34" t="inlineStr">
        <is>
          <t>划船</t>
        </is>
      </c>
      <c r="D165" s="410" t="n">
        <v>5</v>
      </c>
      <c r="E165" s="411" t="n">
        <v>30</v>
      </c>
      <c r="F165" s="411" t="n">
        <v>13</v>
      </c>
      <c r="G165" s="411" t="n">
        <v>0</v>
      </c>
      <c r="H165" s="412">
        <f>IF(OR(E165="",F165=""),"",E165*F165)</f>
        <v/>
      </c>
      <c r="I165" s="44" t="inlineStr">
        <is>
          <t>使用者補充：還有一組 30kg × 13，DBR0。</t>
        </is>
      </c>
    </row>
    <row r="166">
      <c r="A166" s="403" t="n">
        <v>46272</v>
      </c>
      <c r="B166" s="34" t="inlineStr">
        <is>
          <t>重訓</t>
        </is>
      </c>
      <c r="C166" s="34" t="inlineStr">
        <is>
          <t>腿後勾</t>
        </is>
      </c>
      <c r="D166" s="410" t="n">
        <v>1</v>
      </c>
      <c r="E166" s="411" t="n">
        <v>40</v>
      </c>
      <c r="F166" s="411" t="n">
        <v>15</v>
      </c>
      <c r="G166" s="411" t="n">
        <v>3</v>
      </c>
      <c r="H166" s="412">
        <f>IF(OR(E166="",F166=""),"",E166*F166)</f>
        <v/>
      </c>
      <c r="I166" s="44" t="inlineStr">
        <is>
          <t>使用者回報。</t>
        </is>
      </c>
    </row>
    <row r="167">
      <c r="A167" s="403" t="n">
        <v>46272</v>
      </c>
      <c r="B167" s="34" t="inlineStr">
        <is>
          <t>重訓</t>
        </is>
      </c>
      <c r="C167" s="34" t="inlineStr">
        <is>
          <t>腿後勾</t>
        </is>
      </c>
      <c r="D167" s="410" t="n">
        <v>2</v>
      </c>
      <c r="E167" s="411" t="n">
        <v>47</v>
      </c>
      <c r="F167" s="411" t="n">
        <v>15</v>
      </c>
      <c r="G167" s="411" t="n">
        <v>1</v>
      </c>
      <c r="H167" s="412">
        <f>IF(OR(E167="",F167=""),"",E167*F167)</f>
        <v/>
      </c>
      <c r="I167" s="44" t="inlineStr">
        <is>
          <t>使用者回報。</t>
        </is>
      </c>
    </row>
    <row r="168">
      <c r="A168" s="403" t="n">
        <v>46272</v>
      </c>
      <c r="B168" s="34" t="inlineStr">
        <is>
          <t>重訓</t>
        </is>
      </c>
      <c r="C168" s="34" t="inlineStr">
        <is>
          <t>腿後勾</t>
        </is>
      </c>
      <c r="D168" s="410" t="n">
        <v>3</v>
      </c>
      <c r="E168" s="411" t="n">
        <v>47</v>
      </c>
      <c r="F168" s="411" t="n">
        <v>12</v>
      </c>
      <c r="G168" s="411" t="n">
        <v>1</v>
      </c>
      <c r="H168" s="412">
        <f>IF(OR(E168="",F168=""),"",E168*F168)</f>
        <v/>
      </c>
      <c r="I168" s="44" t="inlineStr">
        <is>
          <t>使用者回報。</t>
        </is>
      </c>
    </row>
    <row r="169">
      <c r="A169" s="403" t="n">
        <v>46272</v>
      </c>
      <c r="B169" s="34" t="inlineStr">
        <is>
          <t>重訓</t>
        </is>
      </c>
      <c r="C169" s="34" t="inlineStr">
        <is>
          <t>腿後勾</t>
        </is>
      </c>
      <c r="D169" s="410" t="n">
        <v>4</v>
      </c>
      <c r="E169" s="411" t="n">
        <v>47</v>
      </c>
      <c r="F169" s="411" t="n">
        <v>13</v>
      </c>
      <c r="G169" s="411" t="n">
        <v>0</v>
      </c>
      <c r="H169" s="412">
        <f>IF(OR(E169="",F169=""),"",E169*F169)</f>
        <v/>
      </c>
      <c r="I169" s="44" t="inlineStr">
        <is>
          <t>使用者回報。</t>
        </is>
      </c>
    </row>
    <row r="170">
      <c r="A170" s="403" t="n">
        <v>46272</v>
      </c>
      <c r="B170" s="34" t="inlineStr">
        <is>
          <t>重訓</t>
        </is>
      </c>
      <c r="C170" s="34" t="inlineStr">
        <is>
          <t>腿外展</t>
        </is>
      </c>
      <c r="D170" s="410" t="n">
        <v>1</v>
      </c>
      <c r="E170" s="411" t="n">
        <v>40.8</v>
      </c>
      <c r="F170" s="411" t="n">
        <v>15</v>
      </c>
      <c r="G170" s="411" t="n">
        <v>4</v>
      </c>
      <c r="H170" s="412">
        <f>IF(OR(E170="",F170=""),"",E170*F170)</f>
        <v/>
      </c>
      <c r="I170" s="44" t="inlineStr">
        <is>
          <t>使用者回報。</t>
        </is>
      </c>
    </row>
    <row r="171">
      <c r="A171" s="403" t="n">
        <v>46272</v>
      </c>
      <c r="B171" s="34" t="inlineStr">
        <is>
          <t>重訓</t>
        </is>
      </c>
      <c r="C171" s="34" t="inlineStr">
        <is>
          <t>腿外展</t>
        </is>
      </c>
      <c r="D171" s="410" t="n">
        <v>2</v>
      </c>
      <c r="E171" s="411" t="n">
        <v>48.75</v>
      </c>
      <c r="F171" s="411" t="n">
        <v>15</v>
      </c>
      <c r="G171" s="411" t="n">
        <v>1</v>
      </c>
      <c r="H171" s="412">
        <f>IF(OR(E171="",F171=""),"",E171*F171)</f>
        <v/>
      </c>
      <c r="I171" s="44" t="inlineStr">
        <is>
          <t>使用者回報。</t>
        </is>
      </c>
    </row>
    <row r="172">
      <c r="A172" s="403" t="n">
        <v>46272</v>
      </c>
      <c r="B172" s="34" t="inlineStr">
        <is>
          <t>重訓</t>
        </is>
      </c>
      <c r="C172" s="34" t="inlineStr">
        <is>
          <t>腿外展</t>
        </is>
      </c>
      <c r="D172" s="410" t="n">
        <v>3</v>
      </c>
      <c r="E172" s="411" t="n">
        <v>45</v>
      </c>
      <c r="F172" s="411" t="n">
        <v>15</v>
      </c>
      <c r="G172" s="411" t="n">
        <v>1</v>
      </c>
      <c r="H172" s="412">
        <f>IF(OR(E172="",F172=""),"",E172*F172)</f>
        <v/>
      </c>
      <c r="I172" s="44" t="inlineStr">
        <is>
          <t>使用者回報。</t>
        </is>
      </c>
    </row>
    <row r="173">
      <c r="A173" s="403" t="n">
        <v>46272</v>
      </c>
      <c r="B173" s="34" t="inlineStr">
        <is>
          <t>重訓</t>
        </is>
      </c>
      <c r="C173" s="34" t="inlineStr">
        <is>
          <t>腿外展</t>
        </is>
      </c>
      <c r="D173" s="410" t="n">
        <v>4</v>
      </c>
      <c r="E173" s="411" t="n">
        <v>45</v>
      </c>
      <c r="F173" s="411" t="n">
        <v>12</v>
      </c>
      <c r="G173" s="411" t="n">
        <v>2</v>
      </c>
      <c r="H173" s="412">
        <f>IF(OR(E173="",F173=""),"",E173*F173)</f>
        <v/>
      </c>
      <c r="I173" s="44" t="inlineStr">
        <is>
          <t>使用者回報。</t>
        </is>
      </c>
    </row>
    <row r="174">
      <c r="A174" s="403" t="n">
        <v>46272</v>
      </c>
      <c r="B174" s="34" t="inlineStr">
        <is>
          <t>重訓</t>
        </is>
      </c>
      <c r="C174" s="34" t="inlineStr">
        <is>
          <t>腿外展</t>
        </is>
      </c>
      <c r="D174" s="410" t="n">
        <v>5</v>
      </c>
      <c r="E174" s="411" t="n">
        <v>45</v>
      </c>
      <c r="F174" s="411" t="n">
        <v>15</v>
      </c>
      <c r="G174" s="411" t="n">
        <v>2</v>
      </c>
      <c r="H174" s="412">
        <f>IF(OR(E174="",F174=""),"",E174*F174)</f>
        <v/>
      </c>
      <c r="I174" s="44" t="inlineStr">
        <is>
          <t>使用者追加回報。</t>
        </is>
      </c>
    </row>
    <row r="175">
      <c r="A175" s="403" t="n">
        <v>46272</v>
      </c>
      <c r="B175" s="34" t="inlineStr">
        <is>
          <t>重訓</t>
        </is>
      </c>
      <c r="C175" s="34" t="inlineStr">
        <is>
          <t>啞鈴側平舉</t>
        </is>
      </c>
      <c r="D175" s="410" t="n">
        <v>1</v>
      </c>
      <c r="E175" s="411" t="n">
        <v>10</v>
      </c>
      <c r="F175" s="411" t="n">
        <v>15</v>
      </c>
      <c r="G175" s="411" t="n">
        <v>1</v>
      </c>
      <c r="H175" s="412">
        <f>IF(OR(E175="",F175=""),"",E175*F175)</f>
        <v/>
      </c>
      <c r="I175" s="44" t="inlineStr">
        <is>
          <t>使用者回報。</t>
        </is>
      </c>
    </row>
    <row r="176">
      <c r="A176" s="403" t="n">
        <v>46272</v>
      </c>
      <c r="B176" s="34" t="inlineStr">
        <is>
          <t>重訓</t>
        </is>
      </c>
      <c r="C176" s="34" t="inlineStr">
        <is>
          <t>啞鈴側平舉</t>
        </is>
      </c>
      <c r="D176" s="410" t="n">
        <v>2</v>
      </c>
      <c r="E176" s="411" t="n">
        <v>10</v>
      </c>
      <c r="F176" s="411" t="n">
        <v>13</v>
      </c>
      <c r="G176" s="411" t="n">
        <v>1</v>
      </c>
      <c r="H176" s="412">
        <f>IF(OR(E176="",F176=""),"",E176*F176)</f>
        <v/>
      </c>
      <c r="I176" s="44" t="inlineStr">
        <is>
          <t>重量未重複提供，沿用上一組 10 kg。</t>
        </is>
      </c>
    </row>
    <row r="177">
      <c r="A177" s="403" t="n">
        <v>46272</v>
      </c>
      <c r="B177" s="34" t="inlineStr">
        <is>
          <t>重訓</t>
        </is>
      </c>
      <c r="C177" s="34" t="inlineStr">
        <is>
          <t>啞鈴側平舉</t>
        </is>
      </c>
      <c r="D177" s="410" t="n">
        <v>3</v>
      </c>
      <c r="E177" s="411" t="n">
        <v>10</v>
      </c>
      <c r="F177" s="411" t="n">
        <v>14</v>
      </c>
      <c r="G177" s="411" t="n">
        <v>1</v>
      </c>
      <c r="H177" s="412">
        <f>IF(OR(E177="",F177=""),"",E177*F177)</f>
        <v/>
      </c>
      <c r="I177" s="44" t="inlineStr">
        <is>
          <t>重量未重複提供，沿用上一組 10 kg。</t>
        </is>
      </c>
    </row>
    <row r="178">
      <c r="A178" s="403" t="n">
        <v>46272</v>
      </c>
      <c r="B178" s="34" t="inlineStr">
        <is>
          <t>重訓</t>
        </is>
      </c>
      <c r="C178" s="34" t="inlineStr">
        <is>
          <t>啞鈴側平舉</t>
        </is>
      </c>
      <c r="D178" s="410" t="n">
        <v>4</v>
      </c>
      <c r="E178" s="411" t="n">
        <v>10</v>
      </c>
      <c r="F178" s="411" t="n">
        <v>15</v>
      </c>
      <c r="G178" s="411" t="n">
        <v>0</v>
      </c>
      <c r="H178" s="412">
        <f>IF(OR(E178="",F178=""),"",E178*F178)</f>
        <v/>
      </c>
      <c r="I178" s="44" t="inlineStr">
        <is>
          <t>重量未重複提供，沿用上一組 10 kg。</t>
        </is>
      </c>
    </row>
    <row r="179">
      <c r="A179" s="403" t="n">
        <v>46276</v>
      </c>
      <c r="B179" s="34" t="inlineStr">
        <is>
          <t>重訓</t>
        </is>
      </c>
      <c r="C179" s="34" t="inlineStr">
        <is>
          <t>保加利亞分腿蹲</t>
        </is>
      </c>
      <c r="D179" s="410" t="n">
        <v>1</v>
      </c>
      <c r="E179" s="411" t="n">
        <v>10</v>
      </c>
      <c r="F179" s="411" t="n">
        <v>15</v>
      </c>
      <c r="G179" s="411" t="n">
        <v>2</v>
      </c>
      <c r="H179" s="412">
        <f>IF(OR(E179="",F179=""),"",E179*F179)</f>
        <v/>
      </c>
      <c r="I179" s="44" t="inlineStr">
        <is>
          <t>左腳；每手 5 kg，兩手總負重 10 kg。</t>
        </is>
      </c>
    </row>
    <row r="180">
      <c r="A180" s="403" t="n">
        <v>46276</v>
      </c>
      <c r="B180" s="34" t="inlineStr">
        <is>
          <t>重訓</t>
        </is>
      </c>
      <c r="C180" s="34" t="inlineStr">
        <is>
          <t>保加利亞分腿蹲</t>
        </is>
      </c>
      <c r="D180" s="410" t="n">
        <v>2</v>
      </c>
      <c r="E180" s="411" t="n">
        <v>10</v>
      </c>
      <c r="F180" s="411" t="n">
        <v>15</v>
      </c>
      <c r="G180" s="411" t="n">
        <v>2</v>
      </c>
      <c r="H180" s="412">
        <f>IF(OR(E180="",F180=""),"",E180*F180)</f>
        <v/>
      </c>
      <c r="I180" s="44" t="inlineStr">
        <is>
          <t>右腳；每手 5 kg，兩手總負重 10 kg。使用者更正：第一條回報代表左右腳都完成 15 下 DBR2。</t>
        </is>
      </c>
    </row>
    <row r="181">
      <c r="A181" s="403" t="n">
        <v>46276</v>
      </c>
      <c r="B181" s="34" t="inlineStr">
        <is>
          <t>重訓</t>
        </is>
      </c>
      <c r="C181" s="34" t="inlineStr">
        <is>
          <t>保加利亞分腿蹲</t>
        </is>
      </c>
      <c r="D181" s="410" t="n">
        <v>3</v>
      </c>
      <c r="E181" s="411" t="n">
        <v>10</v>
      </c>
      <c r="F181" s="411" t="n">
        <v>12</v>
      </c>
      <c r="G181" s="411" t="n">
        <v>2</v>
      </c>
      <c r="H181" s="412">
        <f>IF(OR(E181="",F181=""),"",E181*F181)</f>
        <v/>
      </c>
      <c r="I181" s="44" t="inlineStr">
        <is>
          <t>左腳；每手 5 kg，兩手總負重 10 kg。第二條回報代表左右腳都完成 12 下 DBR2。</t>
        </is>
      </c>
    </row>
    <row r="182">
      <c r="A182" s="403" t="n">
        <v>46276</v>
      </c>
      <c r="B182" s="34" t="inlineStr">
        <is>
          <t>重訓</t>
        </is>
      </c>
      <c r="C182" s="34" t="inlineStr">
        <is>
          <t>保加利亞分腿蹲</t>
        </is>
      </c>
      <c r="D182" s="410" t="n">
        <v>4</v>
      </c>
      <c r="E182" s="411" t="n">
        <v>10</v>
      </c>
      <c r="F182" s="411" t="n">
        <v>12</v>
      </c>
      <c r="G182" s="411" t="n">
        <v>2</v>
      </c>
      <c r="H182" s="412">
        <f>IF(OR(E182="",F182=""),"",E182*F182)</f>
        <v/>
      </c>
      <c r="I182" s="44" t="inlineStr">
        <is>
          <t>右腳；每手 5 kg，兩手總負重 10 kg。第二條回報代表左右腳都完成 12 下 DBR2。</t>
        </is>
      </c>
    </row>
    <row r="183">
      <c r="A183" s="403" t="n">
        <v>46276</v>
      </c>
      <c r="B183" s="34" t="inlineStr">
        <is>
          <t>重訓</t>
        </is>
      </c>
      <c r="C183" s="34" t="inlineStr">
        <is>
          <t>保加利亞分腿蹲</t>
        </is>
      </c>
      <c r="D183" s="410" t="n">
        <v>5</v>
      </c>
      <c r="E183" s="411" t="n">
        <v>10</v>
      </c>
      <c r="F183" s="411" t="n">
        <v>13</v>
      </c>
      <c r="G183" s="411" t="n">
        <v>2</v>
      </c>
      <c r="H183" s="412">
        <f>IF(OR(E183="",F183=""),"",E183*F183)</f>
        <v/>
      </c>
      <c r="I183" s="44" t="inlineStr">
        <is>
          <t>左腳；每手 5 kg，兩手總負重 10 kg。</t>
        </is>
      </c>
    </row>
    <row r="184">
      <c r="A184" s="403" t="n">
        <v>46276</v>
      </c>
      <c r="B184" s="34" t="inlineStr">
        <is>
          <t>重訓</t>
        </is>
      </c>
      <c r="C184" s="34" t="inlineStr">
        <is>
          <t>保加利亞分腿蹲</t>
        </is>
      </c>
      <c r="D184" s="410" t="n">
        <v>6</v>
      </c>
      <c r="E184" s="411" t="n">
        <v>10</v>
      </c>
      <c r="F184" s="411" t="n">
        <v>10</v>
      </c>
      <c r="G184" s="411" t="n">
        <v>2</v>
      </c>
      <c r="H184" s="412">
        <f>IF(OR(E184="",F184=""),"",E184*F184)</f>
        <v/>
      </c>
      <c r="I184" s="44" t="inlineStr">
        <is>
          <t>右腳；每手 5 kg，兩手總負重 10 kg。</t>
        </is>
      </c>
    </row>
    <row r="185">
      <c r="A185" s="403" t="n">
        <v>46276</v>
      </c>
      <c r="B185" s="34" t="inlineStr">
        <is>
          <t>重訓</t>
        </is>
      </c>
      <c r="C185" s="34" t="inlineStr">
        <is>
          <t>保加利亞分腿蹲</t>
        </is>
      </c>
      <c r="D185" s="410" t="n">
        <v>7</v>
      </c>
      <c r="E185" s="411" t="n">
        <v>10</v>
      </c>
      <c r="F185" s="411" t="n">
        <v>12</v>
      </c>
      <c r="G185" s="411" t="n">
        <v>1</v>
      </c>
      <c r="H185" s="412">
        <f>IF(OR(E185="",F185=""),"",E185*F185)</f>
        <v/>
      </c>
      <c r="I185" s="44" t="inlineStr">
        <is>
          <t>左腳；每手 5 kg，兩手總負重 10 kg。</t>
        </is>
      </c>
    </row>
    <row r="186">
      <c r="A186" s="403" t="n">
        <v>46276</v>
      </c>
      <c r="B186" s="34" t="inlineStr">
        <is>
          <t>重訓</t>
        </is>
      </c>
      <c r="C186" s="34" t="inlineStr">
        <is>
          <t>保加利亞分腿蹲</t>
        </is>
      </c>
      <c r="D186" s="410" t="n">
        <v>8</v>
      </c>
      <c r="E186" s="411" t="n">
        <v>10</v>
      </c>
      <c r="F186" s="411" t="n">
        <v>10</v>
      </c>
      <c r="G186" s="411" t="n">
        <v>1</v>
      </c>
      <c r="H186" s="412">
        <f>IF(OR(E186="",F186=""),"",E186*F186)</f>
        <v/>
      </c>
      <c r="I186" s="44" t="inlineStr">
        <is>
          <t>右腳；每手 5 kg，兩手總負重 10 kg。</t>
        </is>
      </c>
    </row>
    <row r="187">
      <c r="A187" s="403" t="n">
        <v>46276</v>
      </c>
      <c r="B187" s="34" t="inlineStr">
        <is>
          <t>重訓</t>
        </is>
      </c>
      <c r="C187" s="34" t="inlineStr">
        <is>
          <t>上斜胸推</t>
        </is>
      </c>
      <c r="D187" s="410" t="n">
        <v>1</v>
      </c>
      <c r="E187" s="411" t="n">
        <v>25</v>
      </c>
      <c r="F187" s="411" t="n">
        <v>15</v>
      </c>
      <c r="G187" s="411" t="n">
        <v>1</v>
      </c>
      <c r="H187" s="412">
        <f>IF(OR(E187="",F187=""),"",E187*F187)</f>
        <v/>
      </c>
      <c r="I187" s="44" t="inlineStr">
        <is>
          <t>30°啞鈴上斜胸推；使用者回報每手 12.5 kg，兩支啞鈴合計 25 kg。</t>
        </is>
      </c>
    </row>
    <row r="188">
      <c r="A188" s="403" t="n">
        <v>46276</v>
      </c>
      <c r="B188" s="34" t="inlineStr">
        <is>
          <t>重訓</t>
        </is>
      </c>
      <c r="C188" s="34" t="inlineStr">
        <is>
          <t>上斜胸推</t>
        </is>
      </c>
      <c r="D188" s="410" t="n">
        <v>2</v>
      </c>
      <c r="E188" s="411" t="n">
        <v>25</v>
      </c>
      <c r="F188" s="411" t="n">
        <v>13</v>
      </c>
      <c r="G188" s="411" t="n">
        <v>1</v>
      </c>
      <c r="H188" s="412">
        <f>IF(OR(E188="",F188=""),"",E188*F188)</f>
        <v/>
      </c>
      <c r="I188" s="44" t="inlineStr">
        <is>
          <t>30°啞鈴上斜胸推；重量未重複提供，沿用上一組每手 12.5 kg，兩支啞鈴合計 25 kg。</t>
        </is>
      </c>
    </row>
    <row r="189">
      <c r="A189" s="403" t="n">
        <v>46276</v>
      </c>
      <c r="B189" s="34" t="inlineStr">
        <is>
          <t>重訓</t>
        </is>
      </c>
      <c r="C189" s="34" t="inlineStr">
        <is>
          <t>上斜胸推</t>
        </is>
      </c>
      <c r="D189" s="410" t="n">
        <v>3</v>
      </c>
      <c r="E189" s="411" t="n">
        <v>25</v>
      </c>
      <c r="F189" s="411" t="n">
        <v>9</v>
      </c>
      <c r="G189" s="411" t="n">
        <v>0</v>
      </c>
      <c r="H189" s="412">
        <f>IF(OR(E189="",F189=""),"",E189*F189)</f>
        <v/>
      </c>
      <c r="I189" s="44" t="inlineStr">
        <is>
          <t>30°啞鈴上斜胸推；重量未重複提供，沿用上一組每手 12.5 kg，兩支啞鈴合計 25 kg；本組前臂已有不適。</t>
        </is>
      </c>
    </row>
    <row r="190">
      <c r="A190" s="403" t="n">
        <v>46276</v>
      </c>
      <c r="B190" s="34" t="inlineStr">
        <is>
          <t>重訓</t>
        </is>
      </c>
      <c r="C190" s="34" t="inlineStr">
        <is>
          <t>上斜胸推</t>
        </is>
      </c>
      <c r="D190" s="410" t="n">
        <v>4</v>
      </c>
      <c r="E190" s="411" t="n">
        <v>20</v>
      </c>
      <c r="F190" s="411" t="n">
        <v>12</v>
      </c>
      <c r="G190" s="411" t="n">
        <v>1</v>
      </c>
      <c r="H190" s="412">
        <f>IF(OR(E190="",F190=""),"",E190*F190)</f>
        <v/>
      </c>
      <c r="I190" s="44" t="inlineStr">
        <is>
          <t>30°啞鈴上斜胸推；使用者回報每手 10 kg，兩支啞鈴合計 20 kg。</t>
        </is>
      </c>
    </row>
    <row r="191">
      <c r="A191" s="403" t="n">
        <v>46276</v>
      </c>
      <c r="B191" s="34" t="inlineStr">
        <is>
          <t>重訓</t>
        </is>
      </c>
      <c r="C191" s="34" t="inlineStr">
        <is>
          <t>反向飛鳥</t>
        </is>
      </c>
      <c r="D191" s="410" t="n">
        <v>1</v>
      </c>
      <c r="E191" s="411" t="n">
        <v>15</v>
      </c>
      <c r="F191" s="411" t="n">
        <v>15</v>
      </c>
      <c r="G191" s="411" t="n">
        <v>3</v>
      </c>
      <c r="H191" s="412">
        <f>IF(OR(E191="",F191=""),"",E191*F191)</f>
        <v/>
      </c>
      <c r="I191" s="44" t="inlineStr">
        <is>
          <t>使用者回報 15 kg × 15，DBR3。</t>
        </is>
      </c>
    </row>
    <row r="192">
      <c r="A192" s="403" t="n">
        <v>46276</v>
      </c>
      <c r="B192" s="34" t="inlineStr">
        <is>
          <t>重訓</t>
        </is>
      </c>
      <c r="C192" s="34" t="inlineStr">
        <is>
          <t>反向飛鳥</t>
        </is>
      </c>
      <c r="D192" s="410" t="n">
        <v>2</v>
      </c>
      <c r="E192" s="411" t="n">
        <v>15</v>
      </c>
      <c r="F192" s="411" t="n">
        <v>15</v>
      </c>
      <c r="G192" s="411" t="n">
        <v>1</v>
      </c>
      <c r="H192" s="412">
        <f>IF(OR(E192="",F192=""),"",E192*F192)</f>
        <v/>
      </c>
      <c r="I192" s="44" t="inlineStr">
        <is>
          <t>重量未重複提供，沿用上一組 15 kg。</t>
        </is>
      </c>
    </row>
    <row r="193">
      <c r="A193" s="403" t="n">
        <v>46276</v>
      </c>
      <c r="B193" s="34" t="inlineStr">
        <is>
          <t>重訓</t>
        </is>
      </c>
      <c r="C193" s="34" t="inlineStr">
        <is>
          <t>反向飛鳥</t>
        </is>
      </c>
      <c r="D193" s="410" t="n">
        <v>3</v>
      </c>
      <c r="E193" s="411" t="n">
        <v>15</v>
      </c>
      <c r="F193" s="411" t="n">
        <v>13</v>
      </c>
      <c r="G193" s="411" t="n">
        <v>1</v>
      </c>
      <c r="H193" s="412">
        <f>IF(OR(E193="",F193=""),"",E193*F193)</f>
        <v/>
      </c>
      <c r="I193" s="44" t="inlineStr">
        <is>
          <t>重量未重複提供，沿用上一組 15 kg。</t>
        </is>
      </c>
    </row>
    <row r="194">
      <c r="A194" s="403" t="n">
        <v>46276</v>
      </c>
      <c r="B194" s="34" t="inlineStr">
        <is>
          <t>重訓</t>
        </is>
      </c>
      <c r="C194" s="34" t="inlineStr">
        <is>
          <t>反向飛鳥</t>
        </is>
      </c>
      <c r="D194" s="410" t="n">
        <v>4</v>
      </c>
      <c r="E194" s="411" t="n">
        <v>15</v>
      </c>
      <c r="F194" s="411" t="n">
        <v>13</v>
      </c>
      <c r="G194" s="411" t="n">
        <v>1</v>
      </c>
      <c r="H194" s="412">
        <f>IF(OR(E194="",F194=""),"",E194*F194)</f>
        <v/>
      </c>
      <c r="I194" s="44" t="inlineStr">
        <is>
          <t>重量未重複提供，沿用上一組 15 kg。</t>
        </is>
      </c>
    </row>
    <row r="195">
      <c r="A195" s="403" t="n">
        <v>46276</v>
      </c>
      <c r="B195" s="34" t="inlineStr">
        <is>
          <t>重訓</t>
        </is>
      </c>
      <c r="C195" s="34" t="inlineStr">
        <is>
          <t>反向飛鳥</t>
        </is>
      </c>
      <c r="D195" s="410" t="n">
        <v>5</v>
      </c>
      <c r="E195" s="411" t="n">
        <v>15</v>
      </c>
      <c r="F195" s="411" t="n">
        <v>11</v>
      </c>
      <c r="G195" s="411" t="n">
        <v>1</v>
      </c>
      <c r="H195" s="412">
        <f>IF(OR(E195="",F195=""),"",E195*F195)</f>
        <v/>
      </c>
      <c r="I195" s="44" t="inlineStr">
        <is>
          <t>重量未重複提供，沿用上一組 15 kg。</t>
        </is>
      </c>
    </row>
    <row r="196">
      <c r="A196" s="403" t="n">
        <v>46276</v>
      </c>
      <c r="B196" s="34" t="inlineStr">
        <is>
          <t>重訓</t>
        </is>
      </c>
      <c r="C196" s="34" t="inlineStr">
        <is>
          <t>滑輪下拉</t>
        </is>
      </c>
      <c r="D196" s="410" t="n">
        <v>1</v>
      </c>
      <c r="E196" s="411" t="n">
        <v>37.5</v>
      </c>
      <c r="F196" s="411" t="n">
        <v>13</v>
      </c>
      <c r="G196" s="411" t="n">
        <v>2</v>
      </c>
      <c r="H196" s="412">
        <f>IF(OR(E196="",F196=""),"",E196*F196)</f>
        <v/>
      </c>
      <c r="I196" s="44" t="inlineStr">
        <is>
          <t>重量未重複提供，沿用本次安排 37.5 kg。</t>
        </is>
      </c>
    </row>
    <row r="197">
      <c r="A197" s="403" t="n">
        <v>46276</v>
      </c>
      <c r="B197" s="34" t="inlineStr">
        <is>
          <t>重訓</t>
        </is>
      </c>
      <c r="C197" s="34" t="inlineStr">
        <is>
          <t>滑輪下拉</t>
        </is>
      </c>
      <c r="D197" s="410" t="n">
        <v>2</v>
      </c>
      <c r="E197" s="411" t="n">
        <v>37.5</v>
      </c>
      <c r="F197" s="411" t="n">
        <v>13</v>
      </c>
      <c r="G197" s="411" t="n">
        <v>2</v>
      </c>
      <c r="H197" s="412">
        <f>IF(OR(E197="",F197=""),"",E197*F197)</f>
        <v/>
      </c>
      <c r="I197" s="44" t="inlineStr">
        <is>
          <t>重量未重複提供，沿用上一組 37.5 kg。</t>
        </is>
      </c>
    </row>
    <row r="198">
      <c r="A198" s="403" t="n">
        <v>46276</v>
      </c>
      <c r="B198" s="34" t="inlineStr">
        <is>
          <t>重訓</t>
        </is>
      </c>
      <c r="C198" s="34" t="inlineStr">
        <is>
          <t>滑輪下拉</t>
        </is>
      </c>
      <c r="D198" s="410" t="n">
        <v>3</v>
      </c>
      <c r="E198" s="411" t="n">
        <v>37.5</v>
      </c>
      <c r="F198" s="411" t="n">
        <v>11</v>
      </c>
      <c r="G198" s="411" t="n">
        <v>1</v>
      </c>
      <c r="H198" s="412">
        <f>IF(OR(E198="",F198=""),"",E198*F198)</f>
        <v/>
      </c>
      <c r="I198" s="44" t="inlineStr">
        <is>
          <t>重量未重複提供，沿用上一組 37.5 kg。</t>
        </is>
      </c>
    </row>
    <row r="199">
      <c r="A199" s="403" t="n">
        <v>46276</v>
      </c>
      <c r="B199" s="34" t="inlineStr">
        <is>
          <t>重訓</t>
        </is>
      </c>
      <c r="C199" s="34" t="inlineStr">
        <is>
          <t>滑輪下拉</t>
        </is>
      </c>
      <c r="D199" s="410" t="n">
        <v>4</v>
      </c>
      <c r="E199" s="411" t="n">
        <v>37.5</v>
      </c>
      <c r="F199" s="411" t="n">
        <v>8</v>
      </c>
      <c r="G199" s="411" t="n">
        <v>0</v>
      </c>
      <c r="H199" s="412">
        <f>IF(OR(E199="",F199=""),"",E199*F199)</f>
        <v/>
      </c>
      <c r="I199" s="44" t="inlineStr">
        <is>
          <t>重量未重複提供，沿用上一組 37.5 kg。</t>
        </is>
      </c>
    </row>
    <row r="200">
      <c r="A200" s="403" t="n">
        <v>46276</v>
      </c>
      <c r="B200" s="34" t="inlineStr">
        <is>
          <t>重訓</t>
        </is>
      </c>
      <c r="C200" s="34" t="inlineStr">
        <is>
          <t>腿內收</t>
        </is>
      </c>
      <c r="D200" s="410" t="n">
        <v>1</v>
      </c>
      <c r="E200" s="411" t="n">
        <v>37.5</v>
      </c>
      <c r="F200" s="411" t="n">
        <v>13</v>
      </c>
      <c r="G200" s="411" t="n">
        <v>2</v>
      </c>
      <c r="H200" s="412">
        <f>IF(OR(E200="",F200=""),"",E200*F200)</f>
        <v/>
      </c>
      <c r="I200" s="44" t="inlineStr">
        <is>
          <t>重量未重複提供，沿用本次安排 37.5 kg。</t>
        </is>
      </c>
    </row>
    <row r="201">
      <c r="A201" s="403" t="n">
        <v>46276</v>
      </c>
      <c r="B201" s="34" t="inlineStr">
        <is>
          <t>重訓</t>
        </is>
      </c>
      <c r="C201" s="34" t="inlineStr">
        <is>
          <t>腿內收</t>
        </is>
      </c>
      <c r="D201" s="410" t="n">
        <v>2</v>
      </c>
      <c r="E201" s="411" t="n">
        <v>37.5</v>
      </c>
      <c r="F201" s="411" t="n">
        <v>13</v>
      </c>
      <c r="G201" s="411" t="n">
        <v>1</v>
      </c>
      <c r="H201" s="412">
        <f>IF(OR(E201="",F201=""),"",E201*F201)</f>
        <v/>
      </c>
      <c r="I201" s="44" t="inlineStr">
        <is>
          <t>重量未重複提供，沿用上一組 37.5 kg。</t>
        </is>
      </c>
    </row>
    <row r="202">
      <c r="A202" s="403" t="n">
        <v>46276</v>
      </c>
      <c r="B202" s="34" t="inlineStr">
        <is>
          <t>重訓</t>
        </is>
      </c>
      <c r="C202" s="34" t="inlineStr">
        <is>
          <t>腿內收</t>
        </is>
      </c>
      <c r="D202" s="410" t="n">
        <v>3</v>
      </c>
      <c r="E202" s="411" t="n">
        <v>37.5</v>
      </c>
      <c r="F202" s="411" t="n">
        <v>13</v>
      </c>
      <c r="G202" s="411" t="n">
        <v>1</v>
      </c>
      <c r="H202" s="412">
        <f>IF(OR(E202="",F202=""),"",E202*F202)</f>
        <v/>
      </c>
      <c r="I202" s="44" t="inlineStr">
        <is>
          <t>重量未重複提供，沿用上一組 37.5 kg。</t>
        </is>
      </c>
    </row>
    <row r="203">
      <c r="A203" s="403" t="n">
        <v>46276</v>
      </c>
      <c r="B203" s="34" t="inlineStr">
        <is>
          <t>重訓</t>
        </is>
      </c>
      <c r="C203" s="34" t="inlineStr">
        <is>
          <t>腿內收</t>
        </is>
      </c>
      <c r="D203" s="410" t="n">
        <v>4</v>
      </c>
      <c r="E203" s="411" t="n">
        <v>37.5</v>
      </c>
      <c r="F203" s="411" t="n">
        <v>13</v>
      </c>
      <c r="G203" s="411" t="n">
        <v>0</v>
      </c>
      <c r="H203" s="412">
        <f>IF(OR(E203="",F203=""),"",E203*F203)</f>
        <v/>
      </c>
      <c r="I203" s="44" t="inlineStr">
        <is>
          <t>重量未重複提供，沿用上一組 37.5 kg。</t>
        </is>
      </c>
    </row>
    <row r="204">
      <c r="A204" s="403" t="n"/>
      <c r="B204" s="34" t="n"/>
      <c r="C204" s="34" t="n"/>
      <c r="D204" s="410" t="n"/>
      <c r="E204" s="411" t="n"/>
      <c r="F204" s="411" t="n"/>
      <c r="G204" s="411" t="n"/>
      <c r="H204" s="412">
        <f>IF(OR(E204="",F204=""),"",E204*F204)</f>
        <v/>
      </c>
      <c r="I204" s="44" t="n"/>
    </row>
    <row r="205">
      <c r="A205" s="403" t="n"/>
      <c r="B205" s="34" t="n"/>
      <c r="C205" s="34" t="n"/>
      <c r="D205" s="410" t="n"/>
      <c r="E205" s="411" t="n"/>
      <c r="F205" s="411" t="n"/>
      <c r="G205" s="411" t="n"/>
      <c r="H205" s="412">
        <f>IF(OR(E205="",F205=""),"",E205*F205)</f>
        <v/>
      </c>
      <c r="I205" s="44" t="n"/>
    </row>
    <row r="206">
      <c r="A206" s="403" t="n"/>
      <c r="B206" s="34" t="n"/>
      <c r="C206" s="34" t="n"/>
      <c r="D206" s="410" t="n"/>
      <c r="E206" s="411" t="n"/>
      <c r="F206" s="411" t="n"/>
      <c r="G206" s="411" t="n"/>
      <c r="H206" s="412">
        <f>IF(OR(E206="",F206=""),"",E206*F206)</f>
        <v/>
      </c>
      <c r="I206" s="44" t="n"/>
    </row>
    <row r="207">
      <c r="A207" s="403" t="n"/>
      <c r="B207" s="34" t="n"/>
      <c r="C207" s="34" t="n"/>
      <c r="D207" s="410" t="n"/>
      <c r="E207" s="411" t="n"/>
      <c r="F207" s="411" t="n"/>
      <c r="G207" s="411" t="n"/>
      <c r="H207" s="412">
        <f>IF(OR(E207="",F207=""),"",E207*F207)</f>
        <v/>
      </c>
      <c r="I207" s="44" t="n"/>
    </row>
    <row r="208">
      <c r="A208" s="403" t="n"/>
      <c r="B208" s="34" t="n"/>
      <c r="C208" s="34" t="n"/>
      <c r="D208" s="410" t="n"/>
      <c r="E208" s="411" t="n"/>
      <c r="F208" s="411" t="n"/>
      <c r="G208" s="411" t="n"/>
      <c r="H208" s="412">
        <f>IF(OR(E208="",F208=""),"",E208*F208)</f>
        <v/>
      </c>
      <c r="I208" s="44" t="n"/>
    </row>
    <row r="209">
      <c r="A209" s="403" t="n"/>
      <c r="B209" s="34" t="n"/>
      <c r="C209" s="34" t="n"/>
      <c r="D209" s="410" t="n"/>
      <c r="E209" s="411" t="n"/>
      <c r="F209" s="411" t="n"/>
      <c r="G209" s="411" t="n"/>
      <c r="H209" s="412">
        <f>IF(OR(E209="",F209=""),"",E209*F209)</f>
        <v/>
      </c>
      <c r="I209" s="44" t="n"/>
    </row>
    <row r="210">
      <c r="A210" s="403" t="n"/>
      <c r="B210" s="34" t="n"/>
      <c r="C210" s="34" t="n"/>
      <c r="D210" s="410" t="n"/>
      <c r="E210" s="411" t="n"/>
      <c r="F210" s="411" t="n"/>
      <c r="G210" s="411" t="n"/>
      <c r="H210" s="412">
        <f>IF(OR(E210="",F210=""),"",E210*F210)</f>
        <v/>
      </c>
      <c r="I210" s="44" t="n"/>
    </row>
    <row r="211">
      <c r="A211" s="403" t="n"/>
      <c r="B211" s="34" t="n"/>
      <c r="C211" s="34" t="n"/>
      <c r="D211" s="410" t="n"/>
      <c r="E211" s="411" t="n"/>
      <c r="F211" s="411" t="n"/>
      <c r="G211" s="411" t="n"/>
      <c r="H211" s="412">
        <f>IF(OR(E211="",F211=""),"",E211*F211)</f>
        <v/>
      </c>
      <c r="I211" s="44" t="n"/>
    </row>
    <row r="212">
      <c r="A212" s="403" t="n"/>
      <c r="B212" s="34" t="n"/>
      <c r="C212" s="34" t="n"/>
      <c r="D212" s="410" t="n"/>
      <c r="E212" s="411" t="n"/>
      <c r="F212" s="411" t="n"/>
      <c r="G212" s="411" t="n"/>
      <c r="H212" s="412">
        <f>IF(OR(E212="",F212=""),"",E212*F212)</f>
        <v/>
      </c>
      <c r="I212" s="44" t="n"/>
    </row>
    <row r="213">
      <c r="A213" s="403" t="n"/>
      <c r="B213" s="34" t="n"/>
      <c r="C213" s="34" t="n"/>
      <c r="D213" s="410" t="n"/>
      <c r="E213" s="411" t="n"/>
      <c r="F213" s="411" t="n"/>
      <c r="G213" s="411" t="n"/>
      <c r="H213" s="412">
        <f>IF(OR(E213="",F213=""),"",E213*F213)</f>
        <v/>
      </c>
      <c r="I213" s="44" t="n"/>
    </row>
    <row r="214">
      <c r="A214" s="403" t="n"/>
      <c r="B214" s="34" t="n"/>
      <c r="C214" s="34" t="n"/>
      <c r="D214" s="410" t="n"/>
      <c r="E214" s="411" t="n"/>
      <c r="F214" s="411" t="n"/>
      <c r="G214" s="411" t="n"/>
      <c r="H214" s="412">
        <f>IF(OR(E214="",F214=""),"",E214*F214)</f>
        <v/>
      </c>
      <c r="I214" s="44" t="n"/>
    </row>
    <row r="215">
      <c r="A215" s="403" t="n"/>
      <c r="B215" s="34" t="n"/>
      <c r="C215" s="34" t="n"/>
      <c r="D215" s="410" t="n"/>
      <c r="E215" s="411" t="n"/>
      <c r="F215" s="411" t="n"/>
      <c r="G215" s="411" t="n"/>
      <c r="H215" s="412">
        <f>IF(OR(E215="",F215=""),"",E215*F215)</f>
        <v/>
      </c>
      <c r="I215" s="44" t="n"/>
    </row>
    <row r="216">
      <c r="A216" s="403" t="n"/>
      <c r="B216" s="34" t="n"/>
      <c r="C216" s="34" t="n"/>
      <c r="D216" s="410" t="n"/>
      <c r="E216" s="411" t="n"/>
      <c r="F216" s="411" t="n"/>
      <c r="G216" s="411" t="n"/>
      <c r="H216" s="412">
        <f>IF(OR(E216="",F216=""),"",E216*F216)</f>
        <v/>
      </c>
      <c r="I216" s="44" t="n"/>
    </row>
    <row r="217">
      <c r="A217" s="403" t="n"/>
      <c r="B217" s="34" t="n"/>
      <c r="C217" s="34" t="n"/>
      <c r="D217" s="410" t="n"/>
      <c r="E217" s="411" t="n"/>
      <c r="F217" s="411" t="n"/>
      <c r="G217" s="411" t="n"/>
      <c r="H217" s="412">
        <f>IF(OR(E217="",F217=""),"",E217*F217)</f>
        <v/>
      </c>
      <c r="I217" s="44" t="n"/>
    </row>
    <row r="218">
      <c r="A218" s="403" t="n"/>
      <c r="B218" s="34" t="n"/>
      <c r="C218" s="34" t="n"/>
      <c r="D218" s="410" t="n"/>
      <c r="E218" s="411" t="n"/>
      <c r="F218" s="411" t="n"/>
      <c r="G218" s="411" t="n"/>
      <c r="H218" s="412">
        <f>IF(OR(E218="",F218=""),"",E218*F218)</f>
        <v/>
      </c>
      <c r="I218" s="44" t="n"/>
    </row>
    <row r="219">
      <c r="A219" s="403" t="n"/>
      <c r="B219" s="34" t="n"/>
      <c r="C219" s="34" t="n"/>
      <c r="D219" s="410" t="n"/>
      <c r="E219" s="411" t="n"/>
      <c r="F219" s="411" t="n"/>
      <c r="G219" s="411" t="n"/>
      <c r="H219" s="412">
        <f>IF(OR(E219="",F219=""),"",E219*F219)</f>
        <v/>
      </c>
      <c r="I219" s="44" t="n"/>
    </row>
    <row r="220">
      <c r="A220" s="403" t="n"/>
      <c r="B220" s="34" t="n"/>
      <c r="C220" s="34" t="n"/>
      <c r="D220" s="410" t="n"/>
      <c r="E220" s="411" t="n"/>
      <c r="F220" s="411" t="n"/>
      <c r="G220" s="411" t="n"/>
      <c r="H220" s="412">
        <f>IF(OR(E220="",F220=""),"",E220*F220)</f>
        <v/>
      </c>
      <c r="I220" s="44" t="n"/>
    </row>
    <row r="221">
      <c r="A221" s="403" t="n"/>
      <c r="B221" s="34" t="n"/>
      <c r="C221" s="34" t="n"/>
      <c r="D221" s="410" t="n"/>
      <c r="E221" s="411" t="n"/>
      <c r="F221" s="411" t="n"/>
      <c r="G221" s="411" t="n"/>
      <c r="H221" s="412">
        <f>IF(OR(E221="",F221=""),"",E221*F221)</f>
        <v/>
      </c>
      <c r="I221" s="44" t="n"/>
    </row>
    <row r="222">
      <c r="A222" s="403" t="n"/>
      <c r="B222" s="34" t="n"/>
      <c r="C222" s="34" t="n"/>
      <c r="D222" s="410" t="n"/>
      <c r="E222" s="411" t="n"/>
      <c r="F222" s="411" t="n"/>
      <c r="G222" s="411" t="n"/>
      <c r="H222" s="412">
        <f>IF(OR(E222="",F222=""),"",E222*F222)</f>
        <v/>
      </c>
      <c r="I222" s="44" t="n"/>
    </row>
    <row r="223">
      <c r="A223" s="403" t="n"/>
      <c r="B223" s="34" t="n"/>
      <c r="C223" s="34" t="n"/>
      <c r="D223" s="410" t="n"/>
      <c r="E223" s="411" t="n"/>
      <c r="F223" s="411" t="n"/>
      <c r="G223" s="411" t="n"/>
      <c r="H223" s="412">
        <f>IF(OR(E223="",F223=""),"",E223*F223)</f>
        <v/>
      </c>
      <c r="I223" s="44" t="n"/>
    </row>
    <row r="224">
      <c r="A224" s="403" t="n"/>
      <c r="B224" s="34" t="n"/>
      <c r="C224" s="34" t="n"/>
      <c r="D224" s="410" t="n"/>
      <c r="E224" s="411" t="n"/>
      <c r="F224" s="411" t="n"/>
      <c r="G224" s="411" t="n"/>
      <c r="H224" s="412">
        <f>IF(OR(E224="",F224=""),"",E224*F224)</f>
        <v/>
      </c>
      <c r="I224" s="44" t="n"/>
    </row>
    <row r="225">
      <c r="A225" s="403" t="n"/>
      <c r="B225" s="34" t="n"/>
      <c r="C225" s="34" t="n"/>
      <c r="D225" s="410" t="n"/>
      <c r="E225" s="411" t="n"/>
      <c r="F225" s="411" t="n"/>
      <c r="G225" s="411" t="n"/>
      <c r="H225" s="412">
        <f>IF(OR(E225="",F225=""),"",E225*F225)</f>
        <v/>
      </c>
      <c r="I225" s="44" t="n"/>
    </row>
    <row r="226">
      <c r="A226" s="403" t="n"/>
      <c r="B226" s="34" t="n"/>
      <c r="C226" s="34" t="n"/>
      <c r="D226" s="410" t="n"/>
      <c r="E226" s="411" t="n"/>
      <c r="F226" s="411" t="n"/>
      <c r="G226" s="411" t="n"/>
      <c r="H226" s="412">
        <f>IF(OR(E226="",F226=""),"",E226*F226)</f>
        <v/>
      </c>
      <c r="I226" s="44" t="n"/>
    </row>
    <row r="227">
      <c r="A227" s="403" t="n"/>
      <c r="B227" s="34" t="n"/>
      <c r="C227" s="34" t="n"/>
      <c r="D227" s="410" t="n"/>
      <c r="E227" s="411" t="n"/>
      <c r="F227" s="411" t="n"/>
      <c r="G227" s="411" t="n"/>
      <c r="H227" s="412">
        <f>IF(OR(E227="",F227=""),"",E227*F227)</f>
        <v/>
      </c>
      <c r="I227" s="44" t="n"/>
    </row>
    <row r="228">
      <c r="A228" s="403" t="n"/>
      <c r="B228" s="34" t="n"/>
      <c r="C228" s="34" t="n"/>
      <c r="D228" s="410" t="n"/>
      <c r="E228" s="411" t="n"/>
      <c r="F228" s="411" t="n"/>
      <c r="G228" s="411" t="n"/>
      <c r="H228" s="412">
        <f>IF(OR(E228="",F228=""),"",E228*F228)</f>
        <v/>
      </c>
      <c r="I228" s="44" t="n"/>
    </row>
    <row r="229">
      <c r="A229" s="403" t="n"/>
      <c r="B229" s="34" t="n"/>
      <c r="C229" s="34" t="n"/>
      <c r="D229" s="410" t="n"/>
      <c r="E229" s="411" t="n"/>
      <c r="F229" s="411" t="n"/>
      <c r="G229" s="411" t="n"/>
      <c r="H229" s="412">
        <f>IF(OR(E229="",F229=""),"",E229*F229)</f>
        <v/>
      </c>
      <c r="I229" s="44" t="n"/>
    </row>
    <row r="230">
      <c r="A230" s="403" t="n"/>
      <c r="B230" s="34" t="n"/>
      <c r="C230" s="34" t="n"/>
      <c r="D230" s="410" t="n"/>
      <c r="E230" s="411" t="n"/>
      <c r="F230" s="411" t="n"/>
      <c r="G230" s="411" t="n"/>
      <c r="H230" s="412">
        <f>IF(OR(E230="",F230=""),"",E230*F230)</f>
        <v/>
      </c>
      <c r="I230" s="44" t="n"/>
    </row>
    <row r="231">
      <c r="A231" s="403" t="n"/>
      <c r="B231" s="34" t="n"/>
      <c r="C231" s="34" t="n"/>
      <c r="D231" s="410" t="n"/>
      <c r="E231" s="411" t="n"/>
      <c r="F231" s="411" t="n"/>
      <c r="G231" s="411" t="n"/>
      <c r="H231" s="412">
        <f>IF(OR(E231="",F231=""),"",E231*F231)</f>
        <v/>
      </c>
      <c r="I231" s="44" t="n"/>
    </row>
    <row r="232">
      <c r="A232" s="403" t="n"/>
      <c r="B232" s="34" t="n"/>
      <c r="C232" s="34" t="n"/>
      <c r="D232" s="410" t="n"/>
      <c r="E232" s="411" t="n"/>
      <c r="F232" s="411" t="n"/>
      <c r="G232" s="411" t="n"/>
      <c r="H232" s="412">
        <f>IF(OR(E232="",F232=""),"",E232*F232)</f>
        <v/>
      </c>
      <c r="I232" s="44" t="n"/>
    </row>
    <row r="233">
      <c r="A233" s="403" t="n"/>
      <c r="B233" s="34" t="n"/>
      <c r="C233" s="34" t="n"/>
      <c r="D233" s="410" t="n"/>
      <c r="E233" s="411" t="n"/>
      <c r="F233" s="411" t="n"/>
      <c r="G233" s="411" t="n"/>
      <c r="H233" s="412">
        <f>IF(OR(E233="",F233=""),"",E233*F233)</f>
        <v/>
      </c>
      <c r="I233" s="44" t="n"/>
    </row>
    <row r="234">
      <c r="A234" s="403" t="n"/>
      <c r="B234" s="34" t="n"/>
      <c r="C234" s="34" t="n"/>
      <c r="D234" s="410" t="n"/>
      <c r="E234" s="411" t="n"/>
      <c r="F234" s="411" t="n"/>
      <c r="G234" s="411" t="n"/>
      <c r="H234" s="412">
        <f>IF(OR(E234="",F234=""),"",E234*F234)</f>
        <v/>
      </c>
      <c r="I234" s="44" t="n"/>
    </row>
    <row r="235">
      <c r="A235" s="403" t="n"/>
      <c r="B235" s="34" t="n"/>
      <c r="C235" s="34" t="n"/>
      <c r="D235" s="410" t="n"/>
      <c r="E235" s="411" t="n"/>
      <c r="F235" s="411" t="n"/>
      <c r="G235" s="411" t="n"/>
      <c r="H235" s="412">
        <f>IF(OR(E235="",F235=""),"",E235*F235)</f>
        <v/>
      </c>
      <c r="I235" s="44" t="n"/>
    </row>
    <row r="236">
      <c r="A236" s="403" t="n"/>
      <c r="B236" s="34" t="n"/>
      <c r="C236" s="34" t="n"/>
      <c r="D236" s="410" t="n"/>
      <c r="E236" s="411" t="n"/>
      <c r="F236" s="411" t="n"/>
      <c r="G236" s="411" t="n"/>
      <c r="H236" s="412">
        <f>IF(OR(E236="",F236=""),"",E236*F236)</f>
        <v/>
      </c>
      <c r="I236" s="44" t="n"/>
    </row>
    <row r="237">
      <c r="A237" s="403" t="n"/>
      <c r="B237" s="34" t="n"/>
      <c r="C237" s="34" t="n"/>
      <c r="D237" s="410" t="n"/>
      <c r="E237" s="411" t="n"/>
      <c r="F237" s="411" t="n"/>
      <c r="G237" s="411" t="n"/>
      <c r="H237" s="412">
        <f>IF(OR(E237="",F237=""),"",E237*F237)</f>
        <v/>
      </c>
      <c r="I237" s="44" t="n"/>
    </row>
    <row r="238">
      <c r="A238" s="403" t="n"/>
      <c r="B238" s="34" t="n"/>
      <c r="C238" s="34" t="n"/>
      <c r="D238" s="410" t="n"/>
      <c r="E238" s="411" t="n"/>
      <c r="F238" s="411" t="n"/>
      <c r="G238" s="411" t="n"/>
      <c r="H238" s="412">
        <f>IF(OR(E238="",F238=""),"",E238*F238)</f>
        <v/>
      </c>
      <c r="I238" s="44" t="n"/>
    </row>
    <row r="239">
      <c r="A239" s="403" t="n"/>
      <c r="B239" s="34" t="n"/>
      <c r="C239" s="34" t="n"/>
      <c r="D239" s="410" t="n"/>
      <c r="E239" s="411" t="n"/>
      <c r="F239" s="411" t="n"/>
      <c r="G239" s="411" t="n"/>
      <c r="H239" s="412">
        <f>IF(OR(E239="",F239=""),"",E239*F239)</f>
        <v/>
      </c>
      <c r="I239" s="44" t="n"/>
    </row>
    <row r="240">
      <c r="A240" s="403" t="n"/>
      <c r="B240" s="34" t="n"/>
      <c r="C240" s="34" t="n"/>
      <c r="D240" s="410" t="n"/>
      <c r="E240" s="411" t="n"/>
      <c r="F240" s="411" t="n"/>
      <c r="G240" s="411" t="n"/>
      <c r="H240" s="412">
        <f>IF(OR(E240="",F240=""),"",E240*F240)</f>
        <v/>
      </c>
      <c r="I240" s="44" t="n"/>
    </row>
    <row r="241">
      <c r="A241" s="403" t="n"/>
      <c r="B241" s="34" t="n"/>
      <c r="C241" s="34" t="n"/>
      <c r="D241" s="410" t="n"/>
      <c r="E241" s="411" t="n"/>
      <c r="F241" s="411" t="n"/>
      <c r="G241" s="411" t="n"/>
      <c r="H241" s="412">
        <f>IF(OR(E241="",F241=""),"",E241*F241)</f>
        <v/>
      </c>
      <c r="I241" s="44" t="n"/>
    </row>
    <row r="242">
      <c r="A242" s="403" t="n"/>
      <c r="B242" s="34" t="n"/>
      <c r="C242" s="34" t="n"/>
      <c r="D242" s="410" t="n"/>
      <c r="E242" s="411" t="n"/>
      <c r="F242" s="411" t="n"/>
      <c r="G242" s="411" t="n"/>
      <c r="H242" s="412">
        <f>IF(OR(E242="",F242=""),"",E242*F242)</f>
        <v/>
      </c>
      <c r="I242" s="44" t="n"/>
    </row>
    <row r="243">
      <c r="A243" s="403" t="n"/>
      <c r="B243" s="34" t="n"/>
      <c r="C243" s="34" t="n"/>
      <c r="D243" s="410" t="n"/>
      <c r="E243" s="411" t="n"/>
      <c r="F243" s="411" t="n"/>
      <c r="G243" s="411" t="n"/>
      <c r="H243" s="412">
        <f>IF(OR(E243="",F243=""),"",E243*F243)</f>
        <v/>
      </c>
      <c r="I243" s="44" t="n"/>
    </row>
    <row r="244">
      <c r="A244" s="403" t="n"/>
      <c r="B244" s="34" t="n"/>
      <c r="C244" s="34" t="n"/>
      <c r="D244" s="410" t="n"/>
      <c r="E244" s="411" t="n"/>
      <c r="F244" s="411" t="n"/>
      <c r="G244" s="411" t="n"/>
      <c r="H244" s="412">
        <f>IF(OR(E244="",F244=""),"",E244*F244)</f>
        <v/>
      </c>
      <c r="I244" s="44" t="n"/>
    </row>
    <row r="245">
      <c r="A245" s="403" t="n"/>
      <c r="B245" s="34" t="n"/>
      <c r="C245" s="34" t="n"/>
      <c r="D245" s="410" t="n"/>
      <c r="E245" s="411" t="n"/>
      <c r="F245" s="411" t="n"/>
      <c r="G245" s="411" t="n"/>
      <c r="H245" s="412">
        <f>IF(OR(E245="",F245=""),"",E245*F245)</f>
        <v/>
      </c>
      <c r="I245" s="44" t="n"/>
    </row>
    <row r="246">
      <c r="A246" s="403" t="n"/>
      <c r="B246" s="34" t="n"/>
      <c r="C246" s="34" t="n"/>
      <c r="D246" s="410" t="n"/>
      <c r="E246" s="411" t="n"/>
      <c r="F246" s="411" t="n"/>
      <c r="G246" s="411" t="n"/>
      <c r="H246" s="412">
        <f>IF(OR(E246="",F246=""),"",E246*F246)</f>
        <v/>
      </c>
      <c r="I246" s="44" t="n"/>
    </row>
    <row r="247">
      <c r="A247" s="403" t="n"/>
      <c r="B247" s="34" t="n"/>
      <c r="C247" s="34" t="n"/>
      <c r="D247" s="410" t="n"/>
      <c r="E247" s="411" t="n"/>
      <c r="F247" s="411" t="n"/>
      <c r="G247" s="411" t="n"/>
      <c r="H247" s="412">
        <f>IF(OR(E247="",F247=""),"",E247*F247)</f>
        <v/>
      </c>
      <c r="I247" s="44" t="n"/>
    </row>
    <row r="248">
      <c r="A248" s="403" t="n"/>
      <c r="B248" s="34" t="n"/>
      <c r="C248" s="34" t="n"/>
      <c r="D248" s="410" t="n"/>
      <c r="E248" s="411" t="n"/>
      <c r="F248" s="411" t="n"/>
      <c r="G248" s="411" t="n"/>
      <c r="H248" s="412">
        <f>IF(OR(E248="",F248=""),"",E248*F248)</f>
        <v/>
      </c>
      <c r="I248" s="44" t="n"/>
    </row>
    <row r="249">
      <c r="A249" s="403" t="n"/>
      <c r="B249" s="34" t="n"/>
      <c r="C249" s="34" t="n"/>
      <c r="D249" s="410" t="n"/>
      <c r="E249" s="411" t="n"/>
      <c r="F249" s="411" t="n"/>
      <c r="G249" s="411" t="n"/>
      <c r="H249" s="412">
        <f>IF(OR(E249="",F249=""),"",E249*F249)</f>
        <v/>
      </c>
      <c r="I249" s="44" t="n"/>
    </row>
    <row r="250">
      <c r="A250" s="403" t="n"/>
      <c r="B250" s="34" t="n"/>
      <c r="C250" s="34" t="n"/>
      <c r="D250" s="410" t="n"/>
      <c r="E250" s="411" t="n"/>
      <c r="F250" s="411" t="n"/>
      <c r="G250" s="411" t="n"/>
      <c r="H250" s="412">
        <f>IF(OR(E250="",F250=""),"",E250*F250)</f>
        <v/>
      </c>
      <c r="I250" s="44" t="n"/>
    </row>
    <row r="251">
      <c r="A251" s="403" t="n"/>
      <c r="B251" s="34" t="n"/>
      <c r="C251" s="34" t="n"/>
      <c r="D251" s="410" t="n"/>
      <c r="E251" s="411" t="n"/>
      <c r="F251" s="411" t="n"/>
      <c r="G251" s="411" t="n"/>
      <c r="H251" s="412">
        <f>IF(OR(E251="",F251=""),"",E251*F251)</f>
        <v/>
      </c>
      <c r="I251" s="44" t="n"/>
    </row>
    <row r="252">
      <c r="A252" s="403" t="n"/>
      <c r="B252" s="34" t="n"/>
      <c r="C252" s="34" t="n"/>
      <c r="D252" s="410" t="n"/>
      <c r="E252" s="411" t="n"/>
      <c r="F252" s="411" t="n"/>
      <c r="G252" s="411" t="n"/>
      <c r="H252" s="412">
        <f>IF(OR(E252="",F252=""),"",E252*F252)</f>
        <v/>
      </c>
      <c r="I252" s="44" t="n"/>
    </row>
    <row r="253">
      <c r="A253" s="403" t="n"/>
      <c r="B253" s="34" t="n"/>
      <c r="C253" s="34" t="n"/>
      <c r="D253" s="410" t="n"/>
      <c r="E253" s="411" t="n"/>
      <c r="F253" s="411" t="n"/>
      <c r="G253" s="411" t="n"/>
      <c r="H253" s="412">
        <f>IF(OR(E253="",F253=""),"",E253*F253)</f>
        <v/>
      </c>
      <c r="I253" s="44" t="n"/>
    </row>
    <row r="254">
      <c r="A254" s="403" t="n"/>
      <c r="B254" s="34" t="n"/>
      <c r="C254" s="34" t="n"/>
      <c r="D254" s="410" t="n"/>
      <c r="E254" s="411" t="n"/>
      <c r="F254" s="411" t="n"/>
      <c r="G254" s="411" t="n"/>
      <c r="H254" s="412">
        <f>IF(OR(E254="",F254=""),"",E254*F254)</f>
        <v/>
      </c>
      <c r="I254" s="44" t="n"/>
    </row>
    <row r="255">
      <c r="A255" s="403" t="n"/>
      <c r="B255" s="34" t="n"/>
      <c r="C255" s="34" t="n"/>
      <c r="D255" s="410" t="n"/>
      <c r="E255" s="411" t="n"/>
      <c r="F255" s="411" t="n"/>
      <c r="G255" s="411" t="n"/>
      <c r="H255" s="412">
        <f>IF(OR(E255="",F255=""),"",E255*F255)</f>
        <v/>
      </c>
      <c r="I255" s="44" t="n"/>
    </row>
    <row r="256">
      <c r="A256" s="403" t="n"/>
      <c r="B256" s="34" t="n"/>
      <c r="C256" s="34" t="n"/>
      <c r="D256" s="410" t="n"/>
      <c r="E256" s="411" t="n"/>
      <c r="F256" s="411" t="n"/>
      <c r="G256" s="411" t="n"/>
      <c r="H256" s="412">
        <f>IF(OR(E256="",F256=""),"",E256*F256)</f>
        <v/>
      </c>
      <c r="I256" s="44" t="n"/>
    </row>
    <row r="257">
      <c r="A257" s="403" t="n"/>
      <c r="B257" s="34" t="n"/>
      <c r="C257" s="34" t="n"/>
      <c r="D257" s="410" t="n"/>
      <c r="E257" s="411" t="n"/>
      <c r="F257" s="411" t="n"/>
      <c r="G257" s="411" t="n"/>
      <c r="H257" s="412">
        <f>IF(OR(E257="",F257=""),"",E257*F257)</f>
        <v/>
      </c>
      <c r="I257" s="44" t="n"/>
    </row>
    <row r="258">
      <c r="A258" s="403" t="n"/>
      <c r="B258" s="34" t="n"/>
      <c r="C258" s="34" t="n"/>
      <c r="D258" s="410" t="n"/>
      <c r="E258" s="411" t="n"/>
      <c r="F258" s="411" t="n"/>
      <c r="G258" s="411" t="n"/>
      <c r="H258" s="412">
        <f>IF(OR(E258="",F258=""),"",E258*F258)</f>
        <v/>
      </c>
      <c r="I258" s="44" t="n"/>
    </row>
    <row r="259">
      <c r="A259" s="403" t="n"/>
      <c r="B259" s="34" t="n"/>
      <c r="C259" s="34" t="n"/>
      <c r="D259" s="410" t="n"/>
      <c r="E259" s="411" t="n"/>
      <c r="F259" s="411" t="n"/>
      <c r="G259" s="411" t="n"/>
      <c r="H259" s="412">
        <f>IF(OR(E259="",F259=""),"",E259*F259)</f>
        <v/>
      </c>
      <c r="I259" s="44" t="n"/>
    </row>
    <row r="260">
      <c r="A260" s="403" t="n"/>
      <c r="B260" s="34" t="n"/>
      <c r="C260" s="34" t="n"/>
      <c r="D260" s="410" t="n"/>
      <c r="E260" s="411" t="n"/>
      <c r="F260" s="411" t="n"/>
      <c r="G260" s="411" t="n"/>
      <c r="H260" s="412">
        <f>IF(OR(E260="",F260=""),"",E260*F260)</f>
        <v/>
      </c>
      <c r="I260" s="44" t="n"/>
    </row>
    <row r="261">
      <c r="A261" s="403" t="n"/>
      <c r="B261" s="34" t="n"/>
      <c r="C261" s="34" t="n"/>
      <c r="D261" s="410" t="n"/>
      <c r="E261" s="411" t="n"/>
      <c r="F261" s="411" t="n"/>
      <c r="G261" s="411" t="n"/>
      <c r="H261" s="412">
        <f>IF(OR(E261="",F261=""),"",E261*F261)</f>
        <v/>
      </c>
      <c r="I261" s="44" t="n"/>
    </row>
    <row r="262">
      <c r="A262" s="403" t="n"/>
      <c r="B262" s="34" t="n"/>
      <c r="C262" s="34" t="n"/>
      <c r="D262" s="410" t="n"/>
      <c r="E262" s="411" t="n"/>
      <c r="F262" s="411" t="n"/>
      <c r="G262" s="411" t="n"/>
      <c r="H262" s="412">
        <f>IF(OR(E262="",F262=""),"",E262*F262)</f>
        <v/>
      </c>
      <c r="I262" s="44" t="n"/>
    </row>
    <row r="263">
      <c r="A263" s="403" t="n"/>
      <c r="B263" s="34" t="n"/>
      <c r="C263" s="34" t="n"/>
      <c r="D263" s="410" t="n"/>
      <c r="E263" s="411" t="n"/>
      <c r="F263" s="411" t="n"/>
      <c r="G263" s="411" t="n"/>
      <c r="H263" s="412">
        <f>IF(OR(E263="",F263=""),"",E263*F263)</f>
        <v/>
      </c>
      <c r="I263" s="44" t="n"/>
    </row>
    <row r="264">
      <c r="A264" s="403" t="n"/>
      <c r="B264" s="34" t="n"/>
      <c r="C264" s="34" t="n"/>
      <c r="D264" s="410" t="n"/>
      <c r="E264" s="411" t="n"/>
      <c r="F264" s="411" t="n"/>
      <c r="G264" s="411" t="n"/>
      <c r="H264" s="412">
        <f>IF(OR(E264="",F264=""),"",E264*F264)</f>
        <v/>
      </c>
      <c r="I264" s="44" t="n"/>
    </row>
    <row r="265">
      <c r="A265" s="403" t="n"/>
      <c r="B265" s="34" t="n"/>
      <c r="C265" s="34" t="n"/>
      <c r="D265" s="410" t="n"/>
      <c r="E265" s="411" t="n"/>
      <c r="F265" s="411" t="n"/>
      <c r="G265" s="411" t="n"/>
      <c r="H265" s="412">
        <f>IF(OR(E265="",F265=""),"",E265*F265)</f>
        <v/>
      </c>
      <c r="I265" s="44" t="n"/>
    </row>
    <row r="266">
      <c r="A266" s="403" t="n"/>
      <c r="B266" s="34" t="n"/>
      <c r="C266" s="34" t="n"/>
      <c r="D266" s="410" t="n"/>
      <c r="E266" s="411" t="n"/>
      <c r="F266" s="411" t="n"/>
      <c r="G266" s="411" t="n"/>
      <c r="H266" s="412">
        <f>IF(OR(E266="",F266=""),"",E266*F266)</f>
        <v/>
      </c>
      <c r="I266" s="44" t="n"/>
    </row>
    <row r="267">
      <c r="A267" s="403" t="n"/>
      <c r="B267" s="34" t="n"/>
      <c r="C267" s="34" t="n"/>
      <c r="D267" s="410" t="n"/>
      <c r="E267" s="411" t="n"/>
      <c r="F267" s="411" t="n"/>
      <c r="G267" s="411" t="n"/>
      <c r="H267" s="412">
        <f>IF(OR(E267="",F267=""),"",E267*F267)</f>
        <v/>
      </c>
      <c r="I267" s="44" t="n"/>
    </row>
    <row r="268">
      <c r="A268" s="403" t="n"/>
      <c r="B268" s="34" t="n"/>
      <c r="C268" s="34" t="n"/>
      <c r="D268" s="410" t="n"/>
      <c r="E268" s="411" t="n"/>
      <c r="F268" s="411" t="n"/>
      <c r="G268" s="411" t="n"/>
      <c r="H268" s="412">
        <f>IF(OR(E268="",F268=""),"",E268*F268)</f>
        <v/>
      </c>
      <c r="I268" s="44" t="n"/>
    </row>
    <row r="269">
      <c r="A269" s="403" t="n"/>
      <c r="B269" s="34" t="n"/>
      <c r="C269" s="34" t="n"/>
      <c r="D269" s="410" t="n"/>
      <c r="E269" s="411" t="n"/>
      <c r="F269" s="411" t="n"/>
      <c r="G269" s="411" t="n"/>
      <c r="H269" s="412">
        <f>IF(OR(E269="",F269=""),"",E269*F269)</f>
        <v/>
      </c>
      <c r="I269" s="44" t="n"/>
    </row>
    <row r="270">
      <c r="A270" s="403" t="n"/>
      <c r="B270" s="34" t="n"/>
      <c r="C270" s="34" t="n"/>
      <c r="D270" s="410" t="n"/>
      <c r="E270" s="411" t="n"/>
      <c r="F270" s="411" t="n"/>
      <c r="G270" s="411" t="n"/>
      <c r="H270" s="412">
        <f>IF(OR(E270="",F270=""),"",E270*F270)</f>
        <v/>
      </c>
      <c r="I270" s="44" t="n"/>
    </row>
    <row r="271">
      <c r="A271" s="403" t="n"/>
      <c r="B271" s="34" t="n"/>
      <c r="C271" s="34" t="n"/>
      <c r="D271" s="410" t="n"/>
      <c r="E271" s="411" t="n"/>
      <c r="F271" s="411" t="n"/>
      <c r="G271" s="411" t="n"/>
      <c r="H271" s="412">
        <f>IF(OR(E271="",F271=""),"",E271*F271)</f>
        <v/>
      </c>
      <c r="I271" s="44" t="n"/>
    </row>
    <row r="272">
      <c r="A272" s="403" t="n"/>
      <c r="B272" s="34" t="n"/>
      <c r="C272" s="34" t="n"/>
      <c r="D272" s="410" t="n"/>
      <c r="E272" s="411" t="n"/>
      <c r="F272" s="411" t="n"/>
      <c r="G272" s="411" t="n"/>
      <c r="H272" s="412">
        <f>IF(OR(E272="",F272=""),"",E272*F272)</f>
        <v/>
      </c>
      <c r="I272" s="44" t="n"/>
    </row>
    <row r="273">
      <c r="A273" s="403" t="n"/>
      <c r="B273" s="34" t="n"/>
      <c r="C273" s="34" t="n"/>
      <c r="D273" s="410" t="n"/>
      <c r="E273" s="411" t="n"/>
      <c r="F273" s="411" t="n"/>
      <c r="G273" s="411" t="n"/>
      <c r="H273" s="412">
        <f>IF(OR(E273="",F273=""),"",E273*F273)</f>
        <v/>
      </c>
      <c r="I273" s="44" t="n"/>
    </row>
    <row r="274">
      <c r="A274" s="403" t="n"/>
      <c r="B274" s="34" t="n"/>
      <c r="C274" s="34" t="n"/>
      <c r="D274" s="410" t="n"/>
      <c r="E274" s="411" t="n"/>
      <c r="F274" s="411" t="n"/>
      <c r="G274" s="411" t="n"/>
      <c r="H274" s="412">
        <f>IF(OR(E274="",F274=""),"",E274*F274)</f>
        <v/>
      </c>
      <c r="I274" s="44" t="n"/>
    </row>
    <row r="275">
      <c r="A275" s="403" t="n"/>
      <c r="B275" s="34" t="n"/>
      <c r="C275" s="34" t="n"/>
      <c r="D275" s="410" t="n"/>
      <c r="E275" s="411" t="n"/>
      <c r="F275" s="411" t="n"/>
      <c r="G275" s="411" t="n"/>
      <c r="H275" s="412">
        <f>IF(OR(E275="",F275=""),"",E275*F275)</f>
        <v/>
      </c>
      <c r="I275" s="44" t="n"/>
    </row>
    <row r="276">
      <c r="A276" s="403" t="n"/>
      <c r="B276" s="34" t="n"/>
      <c r="C276" s="34" t="n"/>
      <c r="D276" s="410" t="n"/>
      <c r="E276" s="411" t="n"/>
      <c r="F276" s="411" t="n"/>
      <c r="G276" s="411" t="n"/>
      <c r="H276" s="412">
        <f>IF(OR(E276="",F276=""),"",E276*F276)</f>
        <v/>
      </c>
      <c r="I276" s="44" t="n"/>
    </row>
    <row r="277">
      <c r="A277" s="403" t="n"/>
      <c r="B277" s="34" t="n"/>
      <c r="C277" s="34" t="n"/>
      <c r="D277" s="410" t="n"/>
      <c r="E277" s="411" t="n"/>
      <c r="F277" s="411" t="n"/>
      <c r="G277" s="411" t="n"/>
      <c r="H277" s="412">
        <f>IF(OR(E277="",F277=""),"",E277*F277)</f>
        <v/>
      </c>
      <c r="I277" s="44" t="n"/>
    </row>
    <row r="278">
      <c r="A278" s="403" t="n"/>
      <c r="B278" s="34" t="n"/>
      <c r="C278" s="34" t="n"/>
      <c r="D278" s="410" t="n"/>
      <c r="E278" s="411" t="n"/>
      <c r="F278" s="411" t="n"/>
      <c r="G278" s="411" t="n"/>
      <c r="H278" s="412">
        <f>IF(OR(E278="",F278=""),"",E278*F278)</f>
        <v/>
      </c>
      <c r="I278" s="44" t="n"/>
    </row>
    <row r="279">
      <c r="A279" s="403" t="n"/>
      <c r="B279" s="34" t="n"/>
      <c r="C279" s="34" t="n"/>
      <c r="D279" s="410" t="n"/>
      <c r="E279" s="411" t="n"/>
      <c r="F279" s="411" t="n"/>
      <c r="G279" s="411" t="n"/>
      <c r="H279" s="412">
        <f>IF(OR(E279="",F279=""),"",E279*F279)</f>
        <v/>
      </c>
      <c r="I279" s="44" t="n"/>
    </row>
    <row r="280">
      <c r="A280" s="403" t="n"/>
      <c r="B280" s="34" t="n"/>
      <c r="C280" s="34" t="n"/>
      <c r="D280" s="410" t="n"/>
      <c r="E280" s="411" t="n"/>
      <c r="F280" s="411" t="n"/>
      <c r="G280" s="411" t="n"/>
      <c r="H280" s="412">
        <f>IF(OR(E280="",F280=""),"",E280*F280)</f>
        <v/>
      </c>
      <c r="I280" s="44" t="n"/>
    </row>
    <row r="281">
      <c r="A281" s="403" t="n"/>
      <c r="B281" s="34" t="n"/>
      <c r="C281" s="34" t="n"/>
      <c r="D281" s="410" t="n"/>
      <c r="E281" s="411" t="n"/>
      <c r="F281" s="411" t="n"/>
      <c r="G281" s="411" t="n"/>
      <c r="H281" s="412">
        <f>IF(OR(E281="",F281=""),"",E281*F281)</f>
        <v/>
      </c>
      <c r="I281" s="44" t="n"/>
    </row>
    <row r="282">
      <c r="A282" s="403" t="n"/>
      <c r="B282" s="34" t="n"/>
      <c r="C282" s="34" t="n"/>
      <c r="D282" s="410" t="n"/>
      <c r="E282" s="411" t="n"/>
      <c r="F282" s="411" t="n"/>
      <c r="G282" s="411" t="n"/>
      <c r="H282" s="412">
        <f>IF(OR(E282="",F282=""),"",E282*F282)</f>
        <v/>
      </c>
      <c r="I282" s="44" t="n"/>
    </row>
    <row r="283">
      <c r="A283" s="403" t="n"/>
      <c r="B283" s="34" t="n"/>
      <c r="C283" s="34" t="n"/>
      <c r="D283" s="410" t="n"/>
      <c r="E283" s="411" t="n"/>
      <c r="F283" s="411" t="n"/>
      <c r="G283" s="411" t="n"/>
      <c r="H283" s="412">
        <f>IF(OR(E283="",F283=""),"",E283*F283)</f>
        <v/>
      </c>
      <c r="I283" s="44" t="n"/>
    </row>
    <row r="284">
      <c r="A284" s="403" t="n"/>
      <c r="B284" s="34" t="n"/>
      <c r="C284" s="34" t="n"/>
      <c r="D284" s="410" t="n"/>
      <c r="E284" s="411" t="n"/>
      <c r="F284" s="411" t="n"/>
      <c r="G284" s="411" t="n"/>
      <c r="H284" s="412">
        <f>IF(OR(E284="",F284=""),"",E284*F284)</f>
        <v/>
      </c>
      <c r="I284" s="44" t="n"/>
    </row>
    <row r="285">
      <c r="A285" s="403" t="n"/>
      <c r="B285" s="34" t="n"/>
      <c r="C285" s="34" t="n"/>
      <c r="D285" s="410" t="n"/>
      <c r="E285" s="411" t="n"/>
      <c r="F285" s="411" t="n"/>
      <c r="G285" s="411" t="n"/>
      <c r="H285" s="412">
        <f>IF(OR(E285="",F285=""),"",E285*F285)</f>
        <v/>
      </c>
      <c r="I285" s="44" t="n"/>
    </row>
    <row r="286">
      <c r="A286" s="403" t="n"/>
      <c r="B286" s="34" t="n"/>
      <c r="C286" s="34" t="n"/>
      <c r="D286" s="410" t="n"/>
      <c r="E286" s="411" t="n"/>
      <c r="F286" s="411" t="n"/>
      <c r="G286" s="411" t="n"/>
      <c r="H286" s="412">
        <f>IF(OR(E286="",F286=""),"",E286*F286)</f>
        <v/>
      </c>
      <c r="I286" s="44" t="n"/>
    </row>
    <row r="287">
      <c r="A287" s="403" t="n"/>
      <c r="B287" s="34" t="n"/>
      <c r="C287" s="34" t="n"/>
      <c r="D287" s="410" t="n"/>
      <c r="E287" s="411" t="n"/>
      <c r="F287" s="411" t="n"/>
      <c r="G287" s="411" t="n"/>
      <c r="H287" s="412">
        <f>IF(OR(E287="",F287=""),"",E287*F287)</f>
        <v/>
      </c>
      <c r="I287" s="44" t="n"/>
    </row>
    <row r="288">
      <c r="A288" s="403" t="n"/>
      <c r="B288" s="34" t="n"/>
      <c r="C288" s="34" t="n"/>
      <c r="D288" s="410" t="n"/>
      <c r="E288" s="411" t="n"/>
      <c r="F288" s="411" t="n"/>
      <c r="G288" s="411" t="n"/>
      <c r="H288" s="412">
        <f>IF(OR(E288="",F288=""),"",E288*F288)</f>
        <v/>
      </c>
      <c r="I288" s="44" t="n"/>
    </row>
    <row r="289">
      <c r="A289" s="403" t="n"/>
      <c r="B289" s="34" t="n"/>
      <c r="C289" s="34" t="n"/>
      <c r="D289" s="410" t="n"/>
      <c r="E289" s="411" t="n"/>
      <c r="F289" s="411" t="n"/>
      <c r="G289" s="411" t="n"/>
      <c r="H289" s="412">
        <f>IF(OR(E289="",F289=""),"",E289*F289)</f>
        <v/>
      </c>
      <c r="I289" s="44" t="n"/>
    </row>
    <row r="290">
      <c r="A290" s="403" t="n"/>
      <c r="B290" s="34" t="n"/>
      <c r="C290" s="34" t="n"/>
      <c r="D290" s="410" t="n"/>
      <c r="E290" s="411" t="n"/>
      <c r="F290" s="411" t="n"/>
      <c r="G290" s="411" t="n"/>
      <c r="H290" s="412">
        <f>IF(OR(E290="",F290=""),"",E290*F290)</f>
        <v/>
      </c>
      <c r="I290" s="44" t="n"/>
    </row>
    <row r="291">
      <c r="A291" s="403" t="n"/>
      <c r="B291" s="34" t="n"/>
      <c r="C291" s="34" t="n"/>
      <c r="D291" s="410" t="n"/>
      <c r="E291" s="411" t="n"/>
      <c r="F291" s="411" t="n"/>
      <c r="G291" s="411" t="n"/>
      <c r="H291" s="412">
        <f>IF(OR(E291="",F291=""),"",E291*F291)</f>
        <v/>
      </c>
      <c r="I291" s="44" t="n"/>
    </row>
    <row r="292">
      <c r="A292" s="403" t="n"/>
      <c r="B292" s="34" t="n"/>
      <c r="C292" s="34" t="n"/>
      <c r="D292" s="410" t="n"/>
      <c r="E292" s="411" t="n"/>
      <c r="F292" s="411" t="n"/>
      <c r="G292" s="411" t="n"/>
      <c r="H292" s="412">
        <f>IF(OR(E292="",F292=""),"",E292*F292)</f>
        <v/>
      </c>
      <c r="I292" s="44" t="n"/>
    </row>
    <row r="293">
      <c r="A293" s="403" t="n"/>
      <c r="B293" s="34" t="n"/>
      <c r="C293" s="34" t="n"/>
      <c r="D293" s="410" t="n"/>
      <c r="E293" s="411" t="n"/>
      <c r="F293" s="411" t="n"/>
      <c r="G293" s="411" t="n"/>
      <c r="H293" s="412">
        <f>IF(OR(E293="",F293=""),"",E293*F293)</f>
        <v/>
      </c>
      <c r="I293" s="44" t="n"/>
    </row>
    <row r="294">
      <c r="A294" s="403" t="n"/>
      <c r="B294" s="34" t="n"/>
      <c r="C294" s="34" t="n"/>
      <c r="D294" s="410" t="n"/>
      <c r="E294" s="411" t="n"/>
      <c r="F294" s="411" t="n"/>
      <c r="G294" s="411" t="n"/>
      <c r="H294" s="412">
        <f>IF(OR(E294="",F294=""),"",E294*F294)</f>
        <v/>
      </c>
      <c r="I294" s="44" t="n"/>
    </row>
    <row r="295">
      <c r="A295" s="403" t="n"/>
      <c r="B295" s="34" t="n"/>
      <c r="C295" s="34" t="n"/>
      <c r="D295" s="410" t="n"/>
      <c r="E295" s="411" t="n"/>
      <c r="F295" s="411" t="n"/>
      <c r="G295" s="411" t="n"/>
      <c r="H295" s="412">
        <f>IF(OR(E295="",F295=""),"",E295*F295)</f>
        <v/>
      </c>
      <c r="I295" s="44" t="n"/>
    </row>
    <row r="296">
      <c r="A296" s="403" t="n"/>
      <c r="B296" s="34" t="n"/>
      <c r="C296" s="34" t="n"/>
      <c r="D296" s="410" t="n"/>
      <c r="E296" s="411" t="n"/>
      <c r="F296" s="411" t="n"/>
      <c r="G296" s="411" t="n"/>
      <c r="H296" s="412">
        <f>IF(OR(E296="",F296=""),"",E296*F296)</f>
        <v/>
      </c>
      <c r="I296" s="44" t="n"/>
    </row>
    <row r="297">
      <c r="A297" s="403" t="n"/>
      <c r="B297" s="34" t="n"/>
      <c r="C297" s="34" t="n"/>
      <c r="D297" s="410" t="n"/>
      <c r="E297" s="411" t="n"/>
      <c r="F297" s="411" t="n"/>
      <c r="G297" s="411" t="n"/>
      <c r="H297" s="412">
        <f>IF(OR(E297="",F297=""),"",E297*F297)</f>
        <v/>
      </c>
      <c r="I297" s="44" t="n"/>
    </row>
    <row r="298">
      <c r="A298" s="403" t="n"/>
      <c r="B298" s="34" t="n"/>
      <c r="C298" s="34" t="n"/>
      <c r="D298" s="410" t="n"/>
      <c r="E298" s="411" t="n"/>
      <c r="F298" s="411" t="n"/>
      <c r="G298" s="411" t="n"/>
      <c r="H298" s="412">
        <f>IF(OR(E298="",F298=""),"",E298*F298)</f>
        <v/>
      </c>
      <c r="I298" s="44" t="n"/>
    </row>
    <row r="299">
      <c r="A299" s="403" t="n"/>
      <c r="B299" s="34" t="n"/>
      <c r="C299" s="34" t="n"/>
      <c r="D299" s="410" t="n"/>
      <c r="E299" s="411" t="n"/>
      <c r="F299" s="411" t="n"/>
      <c r="G299" s="411" t="n"/>
      <c r="H299" s="412">
        <f>IF(OR(E299="",F299=""),"",E299*F299)</f>
        <v/>
      </c>
      <c r="I299" s="44" t="n"/>
    </row>
    <row r="300">
      <c r="A300" s="403" t="n"/>
      <c r="B300" s="34" t="n"/>
      <c r="C300" s="34" t="n"/>
      <c r="D300" s="410" t="n"/>
      <c r="E300" s="411" t="n"/>
      <c r="F300" s="411" t="n"/>
      <c r="G300" s="411" t="n"/>
      <c r="H300" s="412">
        <f>IF(OR(E300="",F300=""),"",E300*F300)</f>
        <v/>
      </c>
      <c r="I300" s="44" t="n"/>
    </row>
    <row r="301">
      <c r="A301" s="403" t="n"/>
      <c r="B301" s="34" t="n"/>
      <c r="C301" s="34" t="n"/>
      <c r="D301" s="410" t="n"/>
      <c r="E301" s="411" t="n"/>
      <c r="F301" s="411" t="n"/>
      <c r="G301" s="411" t="n"/>
      <c r="H301" s="412">
        <f>IF(OR(E301="",F301=""),"",E301*F301)</f>
        <v/>
      </c>
      <c r="I301" s="44" t="n"/>
    </row>
    <row r="302">
      <c r="A302" s="403" t="n"/>
      <c r="B302" s="34" t="n"/>
      <c r="C302" s="34" t="n"/>
      <c r="D302" s="410" t="n"/>
      <c r="E302" s="411" t="n"/>
      <c r="F302" s="411" t="n"/>
      <c r="G302" s="411" t="n"/>
      <c r="H302" s="412">
        <f>IF(OR(E302="",F302=""),"",E302*F302)</f>
        <v/>
      </c>
      <c r="I302" s="44" t="n"/>
    </row>
    <row r="303">
      <c r="A303" s="403" t="n"/>
      <c r="B303" s="34" t="n"/>
      <c r="C303" s="34" t="n"/>
      <c r="D303" s="410" t="n"/>
      <c r="E303" s="411" t="n"/>
      <c r="F303" s="411" t="n"/>
      <c r="G303" s="411" t="n"/>
      <c r="H303" s="412">
        <f>IF(OR(E303="",F303=""),"",E303*F303)</f>
        <v/>
      </c>
      <c r="I303" s="44" t="n"/>
    </row>
    <row r="304">
      <c r="A304" s="404" t="n"/>
      <c r="B304" s="36" t="n"/>
      <c r="C304" s="36" t="n"/>
      <c r="D304" s="413" t="n"/>
      <c r="E304" s="414" t="n"/>
      <c r="F304" s="414" t="n"/>
      <c r="G304" s="414" t="n"/>
      <c r="H304" s="415">
        <f>IF(OR(E304="",F304=""),"",E304*F304)</f>
        <v/>
      </c>
      <c r="I304" s="45" t="n"/>
    </row>
  </sheetData>
  <mergeCells count="2">
    <mergeCell ref="A1:I1"/>
    <mergeCell ref="A2:I2"/>
  </mergeCells>
  <dataValidations count="4">
    <dataValidation sqref="D5:D304" showDropDown="0" showInputMessage="0" showErrorMessage="0" allowBlank="0" type="whole" operator="between">
      <formula1>1</formula1>
      <formula2>30</formula2>
    </dataValidation>
    <dataValidation sqref="E5:E304" showDropDown="0" showInputMessage="0" showErrorMessage="0" allowBlank="0" type="decimal" operator="between">
      <formula1>0</formula1>
      <formula2>1000</formula2>
    </dataValidation>
    <dataValidation sqref="F5:F304" showDropDown="0" showInputMessage="0" showErrorMessage="0" allowBlank="0" type="whole" operator="between">
      <formula1>1</formula1>
      <formula2>200</formula2>
    </dataValidation>
    <dataValidation sqref="G5:G304" showDropDown="0" showInputMessage="0" showErrorMessage="0" allowBlank="0" type="decimal" operator="between">
      <formula1>1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.5" customWidth="1" min="3" max="3"/>
    <col width="16" customWidth="1" min="4" max="4"/>
    <col width="28" customWidth="1" min="5" max="5"/>
  </cols>
  <sheetData>
    <row r="1" ht="34" customHeight="1">
      <c r="A1" s="3" t="inlineStr">
        <is>
          <t>資金控制</t>
        </is>
      </c>
    </row>
    <row r="2" ht="26" customHeight="1">
      <c r="A2" s="6" t="inlineStr">
        <is>
          <t>只記總額，不保存銀行帳號、信用卡號或登入資訊</t>
        </is>
      </c>
    </row>
    <row r="4" ht="30" customHeight="1">
      <c r="A4" s="18" t="inlineStr">
        <is>
          <t>基準項目</t>
        </is>
      </c>
      <c r="B4" s="20" t="inlineStr">
        <is>
          <t>金額（TWD）</t>
        </is>
      </c>
    </row>
    <row r="5">
      <c r="A5" s="75" t="inlineStr">
        <is>
          <t>起始現金</t>
        </is>
      </c>
      <c r="B5" s="416" t="n">
        <v>20000</v>
      </c>
    </row>
    <row r="6">
      <c r="A6" s="76" t="inlineStr">
        <is>
          <t>投資資產（基準）</t>
        </is>
      </c>
      <c r="B6" s="417" t="n">
        <v>1030000</v>
      </c>
    </row>
    <row r="7">
      <c r="A7" s="76" t="inlineStr">
        <is>
          <t>現金緩衝目標</t>
        </is>
      </c>
      <c r="B7" s="417" t="n">
        <v>121200</v>
      </c>
    </row>
    <row r="8">
      <c r="A8" s="76" t="inlineStr">
        <is>
          <t>入薪轉存目標</t>
        </is>
      </c>
      <c r="B8" s="417" t="n">
        <v>80000</v>
      </c>
    </row>
    <row r="9">
      <c r="A9" s="76" t="inlineStr">
        <is>
          <t>目前現金</t>
        </is>
      </c>
      <c r="B9" s="417">
        <f>B5+SUM(B14:B25)</f>
        <v/>
      </c>
    </row>
    <row r="10">
      <c r="A10" s="77" t="inlineStr">
        <is>
          <t>距離目標</t>
        </is>
      </c>
      <c r="B10" s="418">
        <f>B7-B9</f>
        <v/>
      </c>
    </row>
    <row r="12">
      <c r="A12" s="397" t="inlineStr">
        <is>
          <t>轉存紀錄</t>
        </is>
      </c>
      <c r="B12" s="25" t="n"/>
      <c r="C12" s="98" t="n"/>
    </row>
    <row r="13" ht="30" customHeight="1">
      <c r="A13" s="18" t="inlineStr">
        <is>
          <t>日期</t>
        </is>
      </c>
      <c r="B13" s="19" t="inlineStr">
        <is>
          <t>金額（TWD）</t>
        </is>
      </c>
      <c r="C13" s="20" t="inlineStr">
        <is>
          <t>備註</t>
        </is>
      </c>
    </row>
    <row r="14" ht="25.5" customHeight="1">
      <c r="A14" s="419" t="n">
        <v>46239</v>
      </c>
      <c r="B14" s="416" t="n">
        <v>50000</v>
      </c>
      <c r="C14" s="138" t="inlineStr">
        <is>
          <t>薪資入帳 133,735 元；轉入現金緩衝</t>
        </is>
      </c>
    </row>
    <row r="15">
      <c r="A15" s="420" t="n"/>
      <c r="B15" s="417" t="n"/>
      <c r="C15" s="25" t="n"/>
    </row>
    <row r="16">
      <c r="A16" s="420" t="n"/>
      <c r="B16" s="417" t="n"/>
      <c r="C16" s="25" t="n"/>
    </row>
    <row r="17">
      <c r="A17" s="420" t="n"/>
      <c r="B17" s="417" t="n"/>
      <c r="C17" s="25" t="n"/>
    </row>
    <row r="18">
      <c r="A18" s="420" t="n"/>
      <c r="B18" s="417" t="n"/>
      <c r="C18" s="25" t="n"/>
    </row>
    <row r="19">
      <c r="A19" s="420" t="n"/>
      <c r="B19" s="417" t="n"/>
      <c r="C19" s="25" t="n"/>
    </row>
    <row r="20">
      <c r="A20" s="420" t="n"/>
      <c r="B20" s="417" t="n"/>
      <c r="C20" s="25" t="n"/>
    </row>
    <row r="21">
      <c r="A21" s="420" t="n"/>
      <c r="B21" s="417" t="n"/>
      <c r="C21" s="25" t="n"/>
    </row>
    <row r="22">
      <c r="A22" s="420" t="n"/>
      <c r="B22" s="417" t="n"/>
      <c r="C22" s="25" t="n"/>
    </row>
    <row r="23">
      <c r="A23" s="420" t="n"/>
      <c r="B23" s="417" t="n"/>
      <c r="C23" s="25" t="n"/>
    </row>
    <row r="24">
      <c r="A24" s="420" t="n"/>
      <c r="B24" s="417" t="n"/>
      <c r="C24" s="25" t="n"/>
    </row>
    <row r="25">
      <c r="A25" s="421" t="n"/>
      <c r="B25" s="418" t="n"/>
      <c r="C25" s="27" t="n"/>
    </row>
    <row r="27">
      <c r="A27" s="397" t="inlineStr">
        <is>
          <t>每週資產核對</t>
        </is>
      </c>
      <c r="B27" s="25" t="n"/>
      <c r="C27" s="25" t="n"/>
      <c r="D27" s="25" t="n"/>
      <c r="E27" s="98" t="n"/>
    </row>
    <row r="28" ht="30" customHeight="1">
      <c r="A28" s="18" t="inlineStr">
        <is>
          <t>核對日</t>
        </is>
      </c>
      <c r="B28" s="19" t="inlineStr">
        <is>
          <t>現金</t>
        </is>
      </c>
      <c r="C28" s="19" t="inlineStr">
        <is>
          <t>投資資產</t>
        </is>
      </c>
      <c r="D28" s="19" t="inlineStr">
        <is>
          <t>負債</t>
        </is>
      </c>
      <c r="E28" s="20" t="inlineStr">
        <is>
          <t>備註</t>
        </is>
      </c>
    </row>
    <row r="29">
      <c r="A29" s="419" t="n">
        <v>46243</v>
      </c>
      <c r="B29" s="416" t="n"/>
      <c r="C29" s="416" t="n"/>
      <c r="D29" s="416" t="n"/>
      <c r="E29" s="23" t="n"/>
    </row>
    <row r="30">
      <c r="A30" s="420" t="n">
        <v>46250</v>
      </c>
      <c r="B30" s="417" t="n"/>
      <c r="C30" s="417" t="n"/>
      <c r="D30" s="417" t="n"/>
      <c r="E30" s="25" t="n"/>
    </row>
    <row r="31">
      <c r="A31" s="420" t="n">
        <v>46257</v>
      </c>
      <c r="B31" s="417" t="n"/>
      <c r="C31" s="417" t="n"/>
      <c r="D31" s="417" t="n"/>
      <c r="E31" s="25" t="n"/>
    </row>
    <row r="32">
      <c r="A32" s="420" t="n">
        <v>46264</v>
      </c>
      <c r="B32" s="417" t="n"/>
      <c r="C32" s="417" t="n"/>
      <c r="D32" s="417" t="n"/>
      <c r="E32" s="25" t="n"/>
    </row>
    <row r="33">
      <c r="A33" s="421" t="n">
        <v>46267</v>
      </c>
      <c r="B33" s="418" t="n"/>
      <c r="C33" s="418" t="n"/>
      <c r="D33" s="418" t="n"/>
      <c r="E33" s="27" t="n"/>
    </row>
    <row r="35">
      <c r="A35" s="90" t="inlineStr">
        <is>
          <t>資料來源：使用者於 2026-08-03 對話提供。210 萬歷史損失不列為待追回資產；本表只追蹤未來資金控制。</t>
        </is>
      </c>
    </row>
    <row r="36"/>
  </sheetData>
  <mergeCells count="5">
    <mergeCell ref="A2:E2"/>
    <mergeCell ref="A1:E1"/>
    <mergeCell ref="A35:E36"/>
    <mergeCell ref="A12:C12"/>
    <mergeCell ref="A27:E27"/>
  </mergeCells>
  <dataValidations count="1">
    <dataValidation sqref="B14:B25" showDropDown="0" showInputMessage="0" showErrorMessage="0" allowBlank="0" type="decimal" operator="between">
      <formula1>0</formula1>
      <formula2>10000000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23" customWidth="1" min="10" max="10"/>
    <col width="23" customWidth="1" min="11" max="11"/>
  </cols>
  <sheetData>
    <row r="1" ht="34" customHeight="1">
      <c r="A1" s="3" t="inlineStr">
        <is>
          <t>每週檢討</t>
        </is>
      </c>
    </row>
    <row r="2" ht="26" customHeight="1">
      <c r="A2" s="6" t="inlineStr">
        <is>
          <t>第 4 週涵蓋最後 9 天；黃色欄位由你自行填寫</t>
        </is>
      </c>
    </row>
    <row r="4" ht="30" customHeight="1">
      <c r="A4" s="18" t="inlineStr">
        <is>
          <t>週期</t>
        </is>
      </c>
      <c r="B4" s="19" t="inlineStr">
        <is>
          <t>開始日</t>
        </is>
      </c>
      <c r="C4" s="19" t="inlineStr">
        <is>
          <t>結束日</t>
        </is>
      </c>
      <c r="D4" s="19" t="inlineStr">
        <is>
          <t>零下注天數</t>
        </is>
      </c>
      <c r="E4" s="19" t="inlineStr">
        <is>
          <t>重訓次數</t>
        </is>
      </c>
      <c r="F4" s="19" t="inlineStr">
        <is>
          <t>散步分鐘</t>
        </is>
      </c>
      <c r="G4" s="19" t="inlineStr">
        <is>
          <t>平均衝動</t>
        </is>
      </c>
      <c r="H4" s="19" t="inlineStr">
        <is>
          <t>違規次數</t>
        </is>
      </c>
      <c r="I4" s="19" t="inlineStr">
        <is>
          <t>本週最強觸發</t>
        </is>
      </c>
      <c r="J4" s="19" t="inlineStr">
        <is>
          <t>有效替代方法</t>
        </is>
      </c>
      <c r="K4" s="20" t="inlineStr">
        <is>
          <t>下週修正</t>
        </is>
      </c>
    </row>
    <row r="5" ht="48" customHeight="1">
      <c r="A5" s="110" t="inlineStr">
        <is>
          <t>第 1 週</t>
        </is>
      </c>
      <c r="B5" s="422" t="n">
        <v>46238</v>
      </c>
      <c r="C5" s="422" t="n">
        <v>46244</v>
      </c>
      <c r="D5" s="112">
        <f>COUNTIFS('每日檢核'!$A$5:$A$34,"&gt;="&amp;B5,'每日檢核'!$A$5:$A$34,"&lt;="&amp;C5,'每日檢核'!$B$5:$B$34,"是")</f>
        <v/>
      </c>
      <c r="E5" s="112">
        <f>COUNTIFS('每日檢核'!$A$5:$A$34,"&gt;="&amp;B5,'每日檢核'!$A$5:$A$34,"&lt;="&amp;C5,'每日檢核'!$G$5:$G$34,"是")</f>
        <v/>
      </c>
      <c r="F5" s="112">
        <f>SUMIFS('每日檢核'!$H$5:$H$34,'每日檢核'!$A$5:$A$34,"&gt;="&amp;B5,'每日檢核'!$A$5:$A$34,"&lt;="&amp;C5)</f>
        <v/>
      </c>
      <c r="G5" s="423">
        <f>IFERROR(AVERAGEIFS('每日檢核'!$D$5:$D$34,'每日檢核'!$A$5:$A$34,"&gt;="&amp;B5,'每日檢核'!$A$5:$A$34,"&lt;="&amp;C5),0)</f>
        <v/>
      </c>
      <c r="H5" s="112">
        <f>COUNTIFS('每日檢核'!$A$5:$A$34,"&gt;="&amp;B5,'每日檢核'!$A$5:$A$34,"&lt;="&amp;C5,'每日檢核'!$B$5:$B$34,"否")+COUNTIFS('每日檢核'!$A$5:$A$34,"&gt;="&amp;B5,'每日檢核'!$A$5:$A$34,"&lt;="&amp;C5,'每日檢核'!$C$5:$C$34,"是")</f>
        <v/>
      </c>
      <c r="I5" s="122" t="n"/>
      <c r="J5" s="122" t="n"/>
      <c r="K5" s="123" t="n"/>
    </row>
    <row r="6" ht="48" customHeight="1">
      <c r="A6" s="114" t="inlineStr">
        <is>
          <t>第 2 週</t>
        </is>
      </c>
      <c r="B6" s="424" t="n">
        <v>46245</v>
      </c>
      <c r="C6" s="424" t="n">
        <v>46251</v>
      </c>
      <c r="D6" s="116">
        <f>COUNTIFS('每日檢核'!$A$5:$A$34,"&gt;="&amp;B6,'每日檢核'!$A$5:$A$34,"&lt;="&amp;C6,'每日檢核'!$B$5:$B$34,"是")</f>
        <v/>
      </c>
      <c r="E6" s="116">
        <f>COUNTIFS('每日檢核'!$A$5:$A$34,"&gt;="&amp;B6,'每日檢核'!$A$5:$A$34,"&lt;="&amp;C6,'每日檢核'!$G$5:$G$34,"是")</f>
        <v/>
      </c>
      <c r="F6" s="116">
        <f>SUMIFS('每日檢核'!$H$5:$H$34,'每日檢核'!$A$5:$A$34,"&gt;="&amp;B6,'每日檢核'!$A$5:$A$34,"&lt;="&amp;C6)</f>
        <v/>
      </c>
      <c r="G6" s="425">
        <f>IFERROR(AVERAGEIFS('每日檢核'!$D$5:$D$34,'每日檢核'!$A$5:$A$34,"&gt;="&amp;B6,'每日檢核'!$A$5:$A$34,"&lt;="&amp;C6),0)</f>
        <v/>
      </c>
      <c r="H6" s="116">
        <f>COUNTIFS('每日檢核'!$A$5:$A$34,"&gt;="&amp;B6,'每日檢核'!$A$5:$A$34,"&lt;="&amp;C6,'每日檢核'!$B$5:$B$34,"否")+COUNTIFS('每日檢核'!$A$5:$A$34,"&gt;="&amp;B6,'每日檢核'!$A$5:$A$34,"&lt;="&amp;C6,'每日檢核'!$C$5:$C$34,"是")</f>
        <v/>
      </c>
      <c r="I6" s="124" t="n"/>
      <c r="J6" s="124" t="n"/>
      <c r="K6" s="125" t="n"/>
    </row>
    <row r="7" ht="48" customHeight="1">
      <c r="A7" s="114" t="inlineStr">
        <is>
          <t>第 3 週</t>
        </is>
      </c>
      <c r="B7" s="424" t="n">
        <v>46252</v>
      </c>
      <c r="C7" s="424" t="n">
        <v>46258</v>
      </c>
      <c r="D7" s="116">
        <f>COUNTIFS('每日檢核'!$A$5:$A$34,"&gt;="&amp;B7,'每日檢核'!$A$5:$A$34,"&lt;="&amp;C7,'每日檢核'!$B$5:$B$34,"是")</f>
        <v/>
      </c>
      <c r="E7" s="116">
        <f>COUNTIFS('每日檢核'!$A$5:$A$34,"&gt;="&amp;B7,'每日檢核'!$A$5:$A$34,"&lt;="&amp;C7,'每日檢核'!$G$5:$G$34,"是")</f>
        <v/>
      </c>
      <c r="F7" s="116">
        <f>SUMIFS('每日檢核'!$H$5:$H$34,'每日檢核'!$A$5:$A$34,"&gt;="&amp;B7,'每日檢核'!$A$5:$A$34,"&lt;="&amp;C7)</f>
        <v/>
      </c>
      <c r="G7" s="425">
        <f>IFERROR(AVERAGEIFS('每日檢核'!$D$5:$D$34,'每日檢核'!$A$5:$A$34,"&gt;="&amp;B7,'每日檢核'!$A$5:$A$34,"&lt;="&amp;C7),0)</f>
        <v/>
      </c>
      <c r="H7" s="116">
        <f>COUNTIFS('每日檢核'!$A$5:$A$34,"&gt;="&amp;B7,'每日檢核'!$A$5:$A$34,"&lt;="&amp;C7,'每日檢核'!$B$5:$B$34,"否")+COUNTIFS('每日檢核'!$A$5:$A$34,"&gt;="&amp;B7,'每日檢核'!$A$5:$A$34,"&lt;="&amp;C7,'每日檢核'!$C$5:$C$34,"是")</f>
        <v/>
      </c>
      <c r="I7" s="124" t="n"/>
      <c r="J7" s="124" t="n"/>
      <c r="K7" s="125" t="n"/>
    </row>
    <row r="8" ht="48" customHeight="1">
      <c r="A8" s="118" t="inlineStr">
        <is>
          <t>第 4 週</t>
        </is>
      </c>
      <c r="B8" s="426" t="n">
        <v>46259</v>
      </c>
      <c r="C8" s="426" t="n">
        <v>46267</v>
      </c>
      <c r="D8" s="120">
        <f>COUNTIFS('每日檢核'!$A$5:$A$34,"&gt;="&amp;B8,'每日檢核'!$A$5:$A$34,"&lt;="&amp;C8,'每日檢核'!$B$5:$B$34,"是")</f>
        <v/>
      </c>
      <c r="E8" s="120">
        <f>COUNTIFS('每日檢核'!$A$5:$A$34,"&gt;="&amp;B8,'每日檢核'!$A$5:$A$34,"&lt;="&amp;C8,'每日檢核'!$G$5:$G$34,"是")</f>
        <v/>
      </c>
      <c r="F8" s="120">
        <f>SUMIFS('每日檢核'!$H$5:$H$34,'每日檢核'!$A$5:$A$34,"&gt;="&amp;B8,'每日檢核'!$A$5:$A$34,"&lt;="&amp;C8)</f>
        <v/>
      </c>
      <c r="G8" s="427">
        <f>IFERROR(AVERAGEIFS('每日檢核'!$D$5:$D$34,'每日檢核'!$A$5:$A$34,"&gt;="&amp;B8,'每日檢核'!$A$5:$A$34,"&lt;="&amp;C8),0)</f>
        <v/>
      </c>
      <c r="H8" s="120">
        <f>COUNTIFS('每日檢核'!$A$5:$A$34,"&gt;="&amp;B8,'每日檢核'!$A$5:$A$34,"&lt;="&amp;C8,'每日檢核'!$B$5:$B$34,"否")+COUNTIFS('每日檢核'!$A$5:$A$34,"&gt;="&amp;B8,'每日檢核'!$A$5:$A$34,"&lt;="&amp;C8,'每日檢核'!$C$5:$C$34,"是")</f>
        <v/>
      </c>
      <c r="I8" s="126" t="n"/>
      <c r="J8" s="126" t="n"/>
      <c r="K8" s="1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4" customHeight="1">
      <c r="A1" s="3" t="inlineStr">
        <is>
          <t>規則與身份</t>
        </is>
      </c>
    </row>
    <row r="2" ht="26" customHeight="1">
      <c r="A2" s="6" t="inlineStr">
        <is>
          <t>這一頁不是勵志語錄；它是復發時必須照做的決策邊界</t>
        </is>
      </c>
    </row>
    <row r="4">
      <c r="A4" s="397" t="inlineStr">
        <is>
          <t>身份重建</t>
        </is>
      </c>
      <c r="B4" s="25" t="n"/>
      <c r="C4" s="25" t="n"/>
      <c r="D4" s="25" t="n"/>
      <c r="E4" s="25" t="n"/>
      <c r="F4" s="25" t="n"/>
      <c r="G4" s="25" t="n"/>
      <c r="H4" s="98" t="n"/>
    </row>
    <row r="5" ht="42" customHeight="1">
      <c r="A5" s="132" t="inlineStr">
        <is>
          <t>舊身份</t>
        </is>
      </c>
      <c r="B5" s="133" t="inlineStr">
        <is>
          <t>我夠聰明，可以私下把損失贏回來；只要還有翻本機會，就不必承認失控。</t>
        </is>
      </c>
      <c r="C5" s="23" t="n"/>
      <c r="D5" s="23" t="n"/>
      <c r="E5" s="23" t="n"/>
      <c r="F5" s="23" t="n"/>
      <c r="G5" s="23" t="n"/>
      <c r="H5" s="23" t="n"/>
    </row>
    <row r="6" ht="42" customHeight="1">
      <c r="A6" s="134" t="inlineStr">
        <is>
          <t>五年反願景</t>
        </is>
      </c>
      <c r="B6" s="135" t="inlineStr">
        <is>
          <t>40 歲仍靠下注取得刺激、資產停滯並繼續隱瞞損失，睡前問自己：我到底在幹嘛？</t>
        </is>
      </c>
      <c r="C6" s="25" t="n"/>
      <c r="D6" s="25" t="n"/>
      <c r="E6" s="25" t="n"/>
      <c r="F6" s="25" t="n"/>
      <c r="G6" s="25" t="n"/>
      <c r="H6" s="25" t="n"/>
    </row>
    <row r="7" ht="42" customHeight="1">
      <c r="A7" s="134" t="inlineStr">
        <is>
          <t>新身份</t>
        </is>
      </c>
      <c r="B7" s="135" t="inlineStr">
        <is>
          <t>我是用可驗證行為保護資本的人；刺激不能碰我的資產。</t>
        </is>
      </c>
      <c r="C7" s="25" t="n"/>
      <c r="D7" s="25" t="n"/>
      <c r="E7" s="25" t="n"/>
      <c r="F7" s="25" t="n"/>
      <c r="G7" s="25" t="n"/>
      <c r="H7" s="25" t="n"/>
    </row>
    <row r="8" ht="42" customHeight="1">
      <c r="A8" s="136" t="inlineStr">
        <is>
          <t>30 天唯一目標</t>
        </is>
      </c>
      <c r="B8" s="137" t="inlineStr">
        <is>
          <t>連續 30 天不以真錢滿足翻本衝動，重新取得對資金與晚間生活的控制。</t>
        </is>
      </c>
      <c r="C8" s="27" t="n"/>
      <c r="D8" s="27" t="n"/>
      <c r="E8" s="27" t="n"/>
      <c r="F8" s="27" t="n"/>
      <c r="G8" s="27" t="n"/>
      <c r="H8" s="27" t="n"/>
    </row>
    <row r="10">
      <c r="A10" s="397" t="inlineStr">
        <is>
          <t>不可談判規則</t>
        </is>
      </c>
      <c r="B10" s="25" t="n"/>
      <c r="C10" s="25" t="n"/>
      <c r="D10" s="25" t="n"/>
      <c r="E10" s="25" t="n"/>
      <c r="F10" s="25" t="n"/>
      <c r="G10" s="25" t="n"/>
      <c r="H10" s="98" t="n"/>
    </row>
    <row r="11" ht="30" customHeight="1">
      <c r="A11" s="43" t="inlineStr">
        <is>
          <t>1. 運彩、期貨實盤、prop firm 帳號、充值與替代帳戶交易全部為零。</t>
        </is>
      </c>
      <c r="B11" s="23" t="n"/>
      <c r="C11" s="23" t="n"/>
      <c r="D11" s="23" t="n"/>
      <c r="E11" s="23" t="n"/>
      <c r="F11" s="23" t="n"/>
      <c r="G11" s="23" t="n"/>
      <c r="H11" s="23" t="n"/>
    </row>
    <row r="12" ht="30" customHeight="1">
      <c r="A12" s="44" t="inlineStr">
        <is>
          <t>2. 不主動查看盤口、預測推文、交易直播或請 AI 分析勝率。</t>
        </is>
      </c>
      <c r="B12" s="25" t="n"/>
      <c r="C12" s="25" t="n"/>
      <c r="D12" s="25" t="n"/>
      <c r="E12" s="25" t="n"/>
      <c r="F12" s="25" t="n"/>
      <c r="G12" s="25" t="n"/>
      <c r="H12" s="25" t="n"/>
    </row>
    <row r="13" ht="30" customHeight="1">
      <c r="A13" s="44" t="inlineStr">
        <is>
          <t>3. 210 萬是已結束的代價，不設定追回期限。</t>
        </is>
      </c>
      <c r="B13" s="25" t="n"/>
      <c r="C13" s="25" t="n"/>
      <c r="D13" s="25" t="n"/>
      <c r="E13" s="25" t="n"/>
      <c r="F13" s="25" t="n"/>
      <c r="G13" s="25" t="n"/>
      <c r="H13" s="25" t="n"/>
    </row>
    <row r="14" ht="30" customHeight="1">
      <c r="A14" s="44" t="inlineStr">
        <is>
          <t>4. 入薪後轉存 80,000 元；現金緩衝先達到 121,200 元。</t>
        </is>
      </c>
      <c r="B14" s="25" t="n"/>
      <c r="C14" s="25" t="n"/>
      <c r="D14" s="25" t="n"/>
      <c r="E14" s="25" t="n"/>
      <c r="F14" s="25" t="n"/>
      <c r="G14" s="25" t="n"/>
      <c r="H14" s="25" t="n"/>
    </row>
    <row r="15" ht="30" customHeight="1">
      <c r="A15" s="45" t="inlineStr">
        <is>
          <t>5. 任何一次下注都算違規，不追損、不重寫規則，剩餘天數仍繼續執行。</t>
        </is>
      </c>
      <c r="B15" s="27" t="n"/>
      <c r="C15" s="27" t="n"/>
      <c r="D15" s="27" t="n"/>
      <c r="E15" s="27" t="n"/>
      <c r="F15" s="27" t="n"/>
      <c r="G15" s="27" t="n"/>
      <c r="H15" s="27" t="n"/>
    </row>
    <row r="17">
      <c r="A17" s="397" t="inlineStr">
        <is>
          <t>明日三件事</t>
        </is>
      </c>
      <c r="B17" s="25" t="n"/>
      <c r="C17" s="25" t="n"/>
      <c r="D17" s="25" t="n"/>
      <c r="E17" s="25" t="n"/>
      <c r="F17" s="25" t="n"/>
      <c r="G17" s="25" t="n"/>
      <c r="H17" s="98" t="n"/>
    </row>
    <row r="18" ht="34" customHeight="1">
      <c r="A18" s="147" t="inlineStr">
        <is>
          <t>1. 封閉資金入口：暫停運彩、終止 Tradeify、刪除 App、移除付款資料與取消盤口內容。</t>
        </is>
      </c>
      <c r="B18" s="23" t="n"/>
      <c r="C18" s="23" t="n"/>
      <c r="D18" s="23" t="n"/>
      <c r="E18" s="23" t="n"/>
      <c r="F18" s="23" t="n"/>
      <c r="G18" s="23" t="n"/>
      <c r="H18" s="23" t="n"/>
    </row>
    <row r="19" ht="34" customHeight="1">
      <c r="A19" s="148" t="inlineStr">
        <is>
          <t>2. 建立資金防線：設定入薪後自動轉存 80,000 元，寫下『210 萬已結束，不靠下注追回』。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34" customHeight="1">
      <c r="A20" s="149" t="inlineStr">
        <is>
          <t>3. 建立晚間替代：完成第一次全身重訓，寫第一筆日誌，再散步或看一集影集。</t>
        </is>
      </c>
      <c r="B20" s="27" t="n"/>
      <c r="C20" s="27" t="n"/>
      <c r="D20" s="27" t="n"/>
      <c r="E20" s="27" t="n"/>
      <c r="F20" s="27" t="n"/>
      <c r="G20" s="27" t="n"/>
      <c r="H20" s="27" t="n"/>
    </row>
    <row r="22">
      <c r="A22" s="397" t="inlineStr">
        <is>
          <t>違規處理與求助</t>
        </is>
      </c>
      <c r="B22" s="25" t="n"/>
      <c r="C22" s="25" t="n"/>
      <c r="D22" s="25" t="n"/>
      <c r="E22" s="25" t="n"/>
      <c r="F22" s="25" t="n"/>
      <c r="G22" s="25" t="n"/>
      <c r="H22" s="98" t="n"/>
    </row>
    <row r="23" ht="32" customHeight="1">
      <c r="A23" s="157" t="inlineStr">
        <is>
          <t>立即停止，不追損；記錄金額、觸發點與使用管道。</t>
        </is>
      </c>
      <c r="B23" s="23" t="n"/>
      <c r="C23" s="23" t="n"/>
      <c r="D23" s="23" t="n"/>
      <c r="E23" s="23" t="n"/>
      <c r="F23" s="23" t="n"/>
      <c r="G23" s="23" t="n"/>
      <c r="H23" s="23" t="n"/>
    </row>
    <row r="24" ht="32" customHeight="1">
      <c r="A24" s="158" t="inlineStr">
        <is>
          <t>當天聯絡台灣運彩客服暫停投注：02-2791-0988。</t>
        </is>
      </c>
      <c r="B24" s="25" t="n"/>
      <c r="C24" s="25" t="n"/>
      <c r="D24" s="25" t="n"/>
      <c r="E24" s="25" t="n"/>
      <c r="F24" s="25" t="n"/>
      <c r="G24" s="25" t="n"/>
      <c r="H24" s="25" t="n"/>
    </row>
    <row r="25" ht="32" customHeight="1">
      <c r="A25" s="158" t="inlineStr">
        <is>
          <t>下一工作日預約專業協助：張老師 1980；松德院區博弈門診 02-2720-8889 轉 888。</t>
        </is>
      </c>
      <c r="B25" s="25" t="n"/>
      <c r="C25" s="25" t="n"/>
      <c r="D25" s="25" t="n"/>
      <c r="E25" s="25" t="n"/>
      <c r="F25" s="25" t="n"/>
      <c r="G25" s="25" t="n"/>
      <c r="H25" s="25" t="n"/>
    </row>
    <row r="26" ht="32" customHeight="1">
      <c r="A26" s="159" t="inlineStr">
        <is>
          <t>官方節制投注資料：https://article.sportslottery.com.tw/zh-tw/declaration/98?iframe</t>
        </is>
      </c>
      <c r="B26" s="27" t="n"/>
      <c r="C26" s="27" t="n"/>
      <c r="D26" s="27" t="n"/>
      <c r="E26" s="27" t="n"/>
      <c r="F26" s="27" t="n"/>
      <c r="G26" s="27" t="n"/>
      <c r="H26" s="27" t="n"/>
    </row>
  </sheetData>
  <mergeCells count="22">
    <mergeCell ref="A15:H15"/>
    <mergeCell ref="A24:H24"/>
    <mergeCell ref="B6:H6"/>
    <mergeCell ref="A11:H11"/>
    <mergeCell ref="A1:H1"/>
    <mergeCell ref="B5:H5"/>
    <mergeCell ref="A25:H25"/>
    <mergeCell ref="B7:H7"/>
    <mergeCell ref="A12:H12"/>
    <mergeCell ref="A18:H18"/>
    <mergeCell ref="A26:H26"/>
    <mergeCell ref="A2:H2"/>
    <mergeCell ref="A14:H14"/>
    <mergeCell ref="A23:H23"/>
    <mergeCell ref="A22:H22"/>
    <mergeCell ref="A17:H17"/>
    <mergeCell ref="A4:H4"/>
    <mergeCell ref="B8:H8"/>
    <mergeCell ref="A20:H20"/>
    <mergeCell ref="A10:H10"/>
    <mergeCell ref="A13:H13"/>
    <mergeCell ref="A19:H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3"/>
  <sheetViews>
    <sheetView showGridLines="0" workbookViewId="0">
      <selection activeCell="A1" sqref="A1"/>
    </sheetView>
  </sheetViews>
  <sheetFormatPr baseColWidth="8" defaultRowHeight="15"/>
  <cols>
    <col width="13.75" customWidth="1" min="1" max="1"/>
    <col width="10" customWidth="1" min="2" max="2"/>
    <col width="18.1299991607666" customWidth="1" min="3" max="3"/>
    <col width="31.8799991607666" customWidth="1" min="4" max="4"/>
    <col width="13.75" customWidth="1" min="5" max="5"/>
    <col width="13.75" customWidth="1" min="6" max="6"/>
    <col width="41.88000106811523" customWidth="1" min="7" max="7"/>
    <col width="12" customWidth="1" min="8" max="8"/>
    <col width="0.3799999952316284" customWidth="1" min="9" max="9"/>
  </cols>
  <sheetData>
    <row r="1" ht="34" customHeight="1">
      <c r="A1" s="180" t="inlineStr">
        <is>
          <t>飲食紀錄</t>
        </is>
      </c>
    </row>
    <row r="2" ht="26" customHeight="1">
      <c r="A2" s="183" t="inlineStr">
        <is>
          <t>只記實際吃的內容；未提供份量、飽足感或熱量時保持空白，不自行猜測</t>
        </is>
      </c>
    </row>
    <row r="4" ht="30" customHeight="1">
      <c r="A4" s="333" t="inlineStr">
        <is>
          <t>日期</t>
        </is>
      </c>
      <c r="B4" s="334" t="inlineStr">
        <is>
          <t>餐別</t>
        </is>
      </c>
      <c r="C4" s="334" t="inlineStr">
        <is>
          <t>餐廳／來源</t>
        </is>
      </c>
      <c r="D4" s="334" t="inlineStr">
        <is>
          <t>餐點內容</t>
        </is>
      </c>
      <c r="E4" s="359" t="inlineStr">
        <is>
          <t>蛋白質（g）</t>
        </is>
      </c>
      <c r="F4" s="357" t="inlineStr">
        <is>
          <t>熱量（kcal）</t>
        </is>
      </c>
      <c r="G4" s="358" t="inlineStr">
        <is>
          <t>備註</t>
        </is>
      </c>
      <c r="H4" s="359" t="inlineStr">
        <is>
          <t>碳水（g）</t>
        </is>
      </c>
    </row>
    <row r="5" ht="25.5" customHeight="1">
      <c r="A5" s="402" t="n">
        <v>46237</v>
      </c>
      <c r="B5" s="38" t="inlineStr">
        <is>
          <t>早餐</t>
        </is>
      </c>
      <c r="C5" s="32" t="n"/>
      <c r="D5" s="360" t="inlineStr">
        <is>
          <t>培根蛋吐司、雞塊</t>
        </is>
      </c>
      <c r="E5" s="428" t="n">
        <v>30</v>
      </c>
      <c r="F5" s="428" t="n">
        <v>750</v>
      </c>
      <c r="G5" s="429" t="inlineStr">
        <is>
          <t>估算：早餐店培根蛋吐司＋一份雞塊；實際份量未提供。 碳水估算：吐司與雞塊裹粉合計約 65 g。</t>
        </is>
      </c>
      <c r="H5" s="446" t="n">
        <v>65</v>
      </c>
    </row>
    <row r="6" ht="25.5" customHeight="1">
      <c r="A6" s="403" t="n">
        <v>46237</v>
      </c>
      <c r="B6" s="40" t="inlineStr">
        <is>
          <t>午餐</t>
        </is>
      </c>
      <c r="C6" s="34" t="n"/>
      <c r="D6" s="44" t="inlineStr">
        <is>
          <t>未進食</t>
        </is>
      </c>
      <c r="E6" s="430" t="n">
        <v>0</v>
      </c>
      <c r="F6" s="430" t="n">
        <v>0</v>
      </c>
      <c r="G6" s="431" t="n"/>
      <c r="H6" s="430" t="n">
        <v>0</v>
      </c>
    </row>
    <row r="7" ht="25.5" customHeight="1">
      <c r="A7" s="403" t="n">
        <v>46237</v>
      </c>
      <c r="B7" s="40" t="inlineStr">
        <is>
          <t>晚餐</t>
        </is>
      </c>
      <c r="C7" s="34" t="inlineStr">
        <is>
          <t>樂晴牛排館</t>
        </is>
      </c>
      <c r="D7" s="363" t="inlineStr">
        <is>
          <t>牛排、雞排、酥皮濃湯</t>
        </is>
      </c>
      <c r="E7" s="432" t="n">
        <v>95</v>
      </c>
      <c r="F7" s="432" t="n">
        <v>1450</v>
      </c>
      <c r="G7" s="433" t="inlineStr">
        <is>
          <t>估算：樂晴牛排館雙排餐＋酥皮濃湯；依常見份量計。 碳水估算：主要來自酥皮濃湯，未另計醬料。</t>
        </is>
      </c>
      <c r="H7" s="437" t="n">
        <v>45</v>
      </c>
    </row>
    <row r="8" ht="25.5" customHeight="1">
      <c r="A8" s="403" t="n">
        <v>46238</v>
      </c>
      <c r="B8" s="40" t="inlineStr">
        <is>
          <t>早餐</t>
        </is>
      </c>
      <c r="C8" s="34" t="inlineStr">
        <is>
          <t>7-ELEVEN（711）</t>
        </is>
      </c>
      <c r="D8" s="363" t="inlineStr">
        <is>
          <t>地瓜、海鹽水煮蛋、雞胸肉</t>
        </is>
      </c>
      <c r="E8" s="432" t="n">
        <v>33</v>
      </c>
      <c r="F8" s="432" t="n">
        <v>300</v>
      </c>
      <c r="G8" s="433" t="inlineStr">
        <is>
          <t>估算：7-ELEVEN 地瓜＋水煮蛋＋雞胸；實際品項份量未提供。 碳水估算：主要來自地瓜。</t>
        </is>
      </c>
      <c r="H8" s="437" t="n">
        <v>35</v>
      </c>
    </row>
    <row r="9" ht="25.5" customHeight="1">
      <c r="A9" s="403" t="n">
        <v>46238</v>
      </c>
      <c r="B9" s="40" t="inlineStr">
        <is>
          <t>午餐</t>
        </is>
      </c>
      <c r="C9" s="34" t="inlineStr">
        <is>
          <t>麥當勞</t>
        </is>
      </c>
      <c r="D9" s="44" t="inlineStr">
        <is>
          <t>大麥克、無糖可樂、小杯玉米湯、中薯</t>
        </is>
      </c>
      <c r="E9" s="434" t="n">
        <v>30</v>
      </c>
      <c r="F9" s="434" t="n">
        <v>1042</v>
      </c>
      <c r="G9" s="435" t="inlineStr">
        <is>
          <t>麥當勞營養資料估算：大麥克、中薯、小杯玉米湯、無糖可樂。 碳水估算：大麥克、中薯與小杯玉米湯合計約 120 g。</t>
        </is>
      </c>
      <c r="H9" s="434" t="n">
        <v>120</v>
      </c>
    </row>
    <row r="10" ht="25.5" customHeight="1">
      <c r="A10" s="403" t="n">
        <v>46238</v>
      </c>
      <c r="B10" s="40" t="inlineStr">
        <is>
          <t>晚餐</t>
        </is>
      </c>
      <c r="C10" s="34" t="n"/>
      <c r="D10" s="44" t="inlineStr">
        <is>
          <t>雙倍雞肉飯，飯一半</t>
        </is>
      </c>
      <c r="E10" s="434" t="n">
        <v>65</v>
      </c>
      <c r="F10" s="434" t="n">
        <v>850</v>
      </c>
      <c r="G10" s="435" t="inlineStr">
        <is>
          <t>使用者回報：850 kcal、蛋白質 65 g。 碳水估算：主要來自半份白飯。</t>
        </is>
      </c>
      <c r="H10" s="434" t="n">
        <v>55</v>
      </c>
    </row>
    <row r="11" ht="25.5" customHeight="1">
      <c r="A11" s="403" t="n">
        <v>46239</v>
      </c>
      <c r="B11" s="40" t="inlineStr">
        <is>
          <t>早餐</t>
        </is>
      </c>
      <c r="C11" s="34" t="inlineStr">
        <is>
          <t>7-ELEVEN（711）</t>
        </is>
      </c>
      <c r="D11" s="44" t="inlineStr">
        <is>
          <t>御選肉鬆飯糰、雙蔬鮪魚飯糰</t>
        </is>
      </c>
      <c r="E11" s="434" t="n">
        <v>10.7</v>
      </c>
      <c r="F11" s="434" t="n">
        <v>485</v>
      </c>
      <c r="G11" s="435" t="inlineStr">
        <is>
          <t>包裝營養標示合計：251＋234 kcal；蛋白質 5.5＋5.2 g。 碳水估算：兩顆飯糰合計約 90 g。</t>
        </is>
      </c>
      <c r="H11" s="434" t="n">
        <v>90</v>
      </c>
    </row>
    <row r="12" ht="25.5" customHeight="1">
      <c r="A12" s="403" t="n">
        <v>46239</v>
      </c>
      <c r="B12" s="40" t="inlineStr">
        <is>
          <t>午餐</t>
        </is>
      </c>
      <c r="C12" s="34" t="n"/>
      <c r="D12" s="44" t="inlineStr">
        <is>
          <t>未進食</t>
        </is>
      </c>
      <c r="E12" s="430" t="n">
        <v>0</v>
      </c>
      <c r="F12" s="430" t="n">
        <v>0</v>
      </c>
      <c r="G12" s="431" t="n"/>
      <c r="H12" s="430" t="n">
        <v>0</v>
      </c>
    </row>
    <row r="13" ht="25.5" customHeight="1">
      <c r="A13" s="403" t="n">
        <v>46239</v>
      </c>
      <c r="B13" s="40" t="inlineStr">
        <is>
          <t>晚餐</t>
        </is>
      </c>
      <c r="C13" s="34" t="inlineStr">
        <is>
          <t>鐵板燒</t>
        </is>
      </c>
      <c r="D13" s="363" t="inlineStr">
        <is>
          <t>松阪豬、嫩煎豆腐、豆芽菜、高麗菜、豆漿</t>
        </is>
      </c>
      <c r="E13" s="432" t="n">
        <v>51</v>
      </c>
      <c r="F13" s="432" t="n">
        <v>714</v>
      </c>
      <c r="G13" s="433" t="inlineStr">
        <is>
          <t>估算：鐵板燒松阪豬、豆腐、兩樣蔬菜與一瓶豆漿；豆漿採 144 kcal。 碳水估算：主要來自豆漿與蔬菜，未另計醬汁。</t>
        </is>
      </c>
      <c r="H13" s="437" t="n">
        <v>28</v>
      </c>
    </row>
    <row r="14" ht="25.5" customHeight="1">
      <c r="A14" s="403" t="n">
        <v>46240</v>
      </c>
      <c r="B14" s="40" t="inlineStr">
        <is>
          <t>早餐</t>
        </is>
      </c>
      <c r="C14" s="34" t="inlineStr">
        <is>
          <t>全家便利商店</t>
        </is>
      </c>
      <c r="D14" s="363" t="inlineStr">
        <is>
          <t>豆漿、地瓜、雞胸肉</t>
        </is>
      </c>
      <c r="E14" s="432" t="n">
        <v>40</v>
      </c>
      <c r="F14" s="432" t="n">
        <v>394</v>
      </c>
      <c r="G14" s="433" t="inlineStr">
        <is>
          <t>估算：全家豆漿、地瓜、雞胸；豆漿採使用者提供的 144 kcal。 碳水估算：地瓜約 35 g、豆漿約 13 g。</t>
        </is>
      </c>
      <c r="H14" s="437" t="n">
        <v>48</v>
      </c>
    </row>
    <row r="15" ht="25.5" customHeight="1">
      <c r="A15" s="403" t="n">
        <v>46240</v>
      </c>
      <c r="B15" s="40" t="inlineStr">
        <is>
          <t>午餐</t>
        </is>
      </c>
      <c r="C15" s="34" t="n"/>
      <c r="D15" s="363" t="inlineStr">
        <is>
          <t>乳清蛋白粉 40g</t>
        </is>
      </c>
      <c r="E15" s="432" t="n">
        <v>30</v>
      </c>
      <c r="F15" s="432" t="n">
        <v>160</v>
      </c>
      <c r="G15" s="433" t="inlineStr">
        <is>
          <t>估算：未提供品牌營養標示，按乳清粉 40g 約含蛋白質 30g、160 kcal 計。 碳水估算：未提供品牌，按一般乳清粉估算。</t>
        </is>
      </c>
      <c r="H15" s="437" t="n">
        <v>4</v>
      </c>
    </row>
    <row r="16" ht="30" customHeight="1">
      <c r="A16" s="403" t="n">
        <v>46240</v>
      </c>
      <c r="B16" s="40" t="inlineStr">
        <is>
          <t>晚餐</t>
        </is>
      </c>
      <c r="C16" s="34" t="n"/>
      <c r="D16" s="363" t="inlineStr">
        <is>
          <t>炸雞排、炸杏鮑菇、炸魷魚</t>
        </is>
      </c>
      <c r="E16" s="432" t="n">
        <v>54</v>
      </c>
      <c r="F16" s="432" t="n">
        <v>1054</v>
      </c>
      <c r="G16" s="433" t="inlineStr">
        <is>
          <t>估算：炸雞排 630、炸杏鮑菇 174、炸魷魚 250 kcal；實際份量與裹粉用油不同會有差異。 碳水估算：主要來自裹粉。</t>
        </is>
      </c>
      <c r="H16" s="437" t="n">
        <v>70</v>
      </c>
    </row>
    <row r="17" ht="36" customHeight="1">
      <c r="A17" s="403" t="n">
        <v>46241</v>
      </c>
      <c r="B17" s="40" t="inlineStr">
        <is>
          <t>早餐</t>
        </is>
      </c>
      <c r="C17" s="34" t="n"/>
      <c r="D17" s="389" t="inlineStr">
        <is>
          <t>地瓜、雞胸肉</t>
        </is>
      </c>
      <c r="E17" s="436" t="n">
        <v>27</v>
      </c>
      <c r="F17" s="436" t="n">
        <v>250</v>
      </c>
      <c r="G17" s="384" t="inlineStr">
        <is>
          <t>估算：依固定設定；地瓜 2g 蛋白質、雞胸肉 25g 蛋白質。 碳水估算：主要來自地瓜。</t>
        </is>
      </c>
      <c r="H17" s="437" t="n">
        <v>35</v>
      </c>
    </row>
    <row r="18" ht="36" customHeight="1">
      <c r="A18" s="403" t="n">
        <v>46241</v>
      </c>
      <c r="B18" s="40" t="inlineStr">
        <is>
          <t>午餐</t>
        </is>
      </c>
      <c r="C18" s="34" t="n"/>
      <c r="D18" s="389" t="inlineStr">
        <is>
          <t>乳清蛋白粉 40g</t>
        </is>
      </c>
      <c r="E18" s="436" t="n">
        <v>30</v>
      </c>
      <c r="F18" s="436" t="n">
        <v>160</v>
      </c>
      <c r="G18" s="384" t="inlineStr">
        <is>
          <t>估算：未提供品牌營養標示，按乳清粉 40g 約含蛋白質 30g、160 kcal 計。 碳水估算：未提供品牌，按一般乳清粉估算。</t>
        </is>
      </c>
      <c r="H18" s="437" t="n">
        <v>4</v>
      </c>
    </row>
    <row r="19" ht="36" customHeight="1">
      <c r="A19" s="403" t="n">
        <v>46241</v>
      </c>
      <c r="B19" s="40" t="inlineStr">
        <is>
          <t>晚餐</t>
        </is>
      </c>
      <c r="C19" s="34" t="inlineStr">
        <is>
          <t>火鍋</t>
        </is>
      </c>
      <c r="D19" s="389" t="inlineStr">
        <is>
          <t>肉片約 15 片、蔬菜</t>
        </is>
      </c>
      <c r="E19" s="436" t="n">
        <v>45</v>
      </c>
      <c r="F19" s="436" t="n">
        <v>650</v>
      </c>
      <c r="G19" s="384" t="inlineStr">
        <is>
          <t>估算：未提供肉種與重量，按一般火鍋肉片約 225g 加蔬菜計。 碳水估算：主要來自蔬菜與湯底，未另計醬料。</t>
        </is>
      </c>
      <c r="H19" s="437" t="n">
        <v>15</v>
      </c>
    </row>
    <row r="20" ht="36" customHeight="1">
      <c r="A20" s="403" t="n">
        <v>46242</v>
      </c>
      <c r="B20" s="40" t="inlineStr">
        <is>
          <t>早餐</t>
        </is>
      </c>
      <c r="C20" s="34" t="n"/>
      <c r="D20" s="389" t="inlineStr">
        <is>
          <t>地瓜、雞胸肉</t>
        </is>
      </c>
      <c r="E20" s="436" t="n">
        <v>32</v>
      </c>
      <c r="F20" s="436" t="n">
        <v>285</v>
      </c>
      <c r="G20" s="384" t="inlineStr">
        <is>
          <t>雞胸肉蛋白質採使用者回報 30g；地瓜沿用 2g。熱量按一般份量估算。 碳水估算：主要來自地瓜。</t>
        </is>
      </c>
      <c r="H20" s="437" t="n">
        <v>35</v>
      </c>
    </row>
    <row r="21" ht="36" customHeight="1">
      <c r="A21" s="403" t="n">
        <v>46242</v>
      </c>
      <c r="B21" s="40" t="inlineStr">
        <is>
          <t>午餐</t>
        </is>
      </c>
      <c r="C21" s="34" t="n"/>
      <c r="D21" s="389" t="inlineStr">
        <is>
          <t>乳清蛋白粉 60g、豆漿</t>
        </is>
      </c>
      <c r="E21" s="436" t="n">
        <v>58</v>
      </c>
      <c r="F21" s="436" t="n">
        <v>384</v>
      </c>
      <c r="G21" s="384" t="inlineStr">
        <is>
          <t>乳清按 60g 粉估算蛋白質 45g、240 kcal；豆漿沿用 13g、144 kcal。 碳水估算：乳清約 6 g、豆漿約 13 g。</t>
        </is>
      </c>
      <c r="H21" s="437" t="n">
        <v>19</v>
      </c>
    </row>
    <row r="22" ht="40.5" customHeight="1">
      <c r="A22" s="403" t="n">
        <v>46242</v>
      </c>
      <c r="B22" s="40" t="inlineStr">
        <is>
          <t>晚餐</t>
        </is>
      </c>
      <c r="C22" s="34" t="inlineStr">
        <is>
          <t>好食多涮涮鍋</t>
        </is>
      </c>
      <c r="D22" s="395" t="inlineStr">
        <is>
          <t>昆布鍋、12 盎司增肌減脂肉片、活鮑魚 3 個、白飯 1 碗</t>
        </is>
      </c>
      <c r="E22" s="437" t="n">
        <v>82</v>
      </c>
      <c r="F22" s="437" t="n">
        <v>850</v>
      </c>
      <c r="G22" s="384" t="inlineStr">
        <is>
          <t>估算：12 盎司約 340g。肉種與醬料未提供；依低脂火鍋肉片、鮑魚與白飯估算，未另計菜盤。 碳水估算：白飯約 60 g，加菜盤與湯底約 10 g。</t>
        </is>
      </c>
      <c r="H22" s="437" t="n">
        <v>70</v>
      </c>
    </row>
    <row r="23">
      <c r="A23" s="438" t="n"/>
      <c r="B23" s="40" t="n"/>
      <c r="C23" s="34" t="n"/>
      <c r="D23" s="44" t="n"/>
      <c r="E23" s="439" t="n"/>
      <c r="F23" s="439" t="n"/>
      <c r="G23" s="384" t="n"/>
      <c r="H23" s="439" t="n"/>
    </row>
    <row r="24">
      <c r="A24" s="438" t="n"/>
      <c r="B24" s="40" t="n"/>
      <c r="C24" s="34" t="n"/>
      <c r="D24" s="44" t="n"/>
      <c r="E24" s="439" t="n"/>
      <c r="F24" s="439" t="n"/>
      <c r="G24" s="384" t="n"/>
      <c r="H24" s="439" t="n"/>
    </row>
    <row r="25">
      <c r="A25" s="438" t="n"/>
      <c r="B25" s="40" t="n"/>
      <c r="C25" s="34" t="n"/>
      <c r="D25" s="44" t="n"/>
      <c r="E25" s="439" t="n"/>
      <c r="F25" s="439" t="n"/>
      <c r="G25" s="384" t="n"/>
      <c r="H25" s="439" t="n"/>
    </row>
    <row r="26">
      <c r="A26" s="438" t="n"/>
      <c r="B26" s="40" t="n"/>
      <c r="C26" s="34" t="n"/>
      <c r="D26" s="44" t="n"/>
      <c r="E26" s="439" t="n"/>
      <c r="F26" s="439" t="n"/>
      <c r="G26" s="384" t="n"/>
      <c r="H26" s="439" t="n"/>
    </row>
    <row r="27">
      <c r="A27" s="438" t="n"/>
      <c r="B27" s="40" t="n"/>
      <c r="C27" s="34" t="n"/>
      <c r="D27" s="44" t="n"/>
      <c r="E27" s="439" t="n"/>
      <c r="F27" s="439" t="n"/>
      <c r="G27" s="384" t="n"/>
      <c r="H27" s="439" t="n"/>
    </row>
    <row r="28">
      <c r="A28" s="438" t="n"/>
      <c r="B28" s="40" t="n"/>
      <c r="C28" s="34" t="n"/>
      <c r="D28" s="44" t="n"/>
      <c r="E28" s="439" t="n"/>
      <c r="F28" s="439" t="n"/>
      <c r="G28" s="384" t="n"/>
      <c r="H28" s="439" t="n"/>
    </row>
    <row r="29">
      <c r="A29" s="438" t="n"/>
      <c r="B29" s="40" t="n"/>
      <c r="C29" s="34" t="n"/>
      <c r="D29" s="44" t="n"/>
      <c r="E29" s="439" t="n"/>
      <c r="F29" s="439" t="n"/>
      <c r="G29" s="384" t="n"/>
      <c r="H29" s="439" t="n"/>
    </row>
    <row r="30">
      <c r="A30" s="438" t="n"/>
      <c r="B30" s="40" t="n"/>
      <c r="C30" s="34" t="n"/>
      <c r="D30" s="44" t="n"/>
      <c r="E30" s="439" t="n"/>
      <c r="F30" s="439" t="n"/>
      <c r="G30" s="384" t="n"/>
      <c r="H30" s="439" t="n"/>
    </row>
    <row r="31">
      <c r="A31" s="438" t="n"/>
      <c r="B31" s="40" t="n"/>
      <c r="C31" s="34" t="n"/>
      <c r="D31" s="44" t="n"/>
      <c r="E31" s="439" t="n"/>
      <c r="F31" s="439" t="n"/>
      <c r="G31" s="384" t="n"/>
      <c r="H31" s="439" t="n"/>
    </row>
    <row r="32">
      <c r="A32" s="438" t="n"/>
      <c r="B32" s="40" t="n"/>
      <c r="C32" s="34" t="n"/>
      <c r="D32" s="44" t="n"/>
      <c r="E32" s="439" t="n"/>
      <c r="F32" s="439" t="n"/>
      <c r="G32" s="384" t="n"/>
      <c r="H32" s="439" t="n"/>
    </row>
    <row r="33">
      <c r="A33" s="438" t="n"/>
      <c r="B33" s="40" t="n"/>
      <c r="C33" s="34" t="n"/>
      <c r="D33" s="44" t="n"/>
      <c r="E33" s="439" t="n"/>
      <c r="F33" s="439" t="n"/>
      <c r="G33" s="384" t="n"/>
      <c r="H33" s="439" t="n"/>
    </row>
    <row r="34">
      <c r="A34" s="438" t="n"/>
      <c r="B34" s="40" t="n"/>
      <c r="C34" s="34" t="n"/>
      <c r="D34" s="44" t="n"/>
      <c r="E34" s="439" t="n"/>
      <c r="F34" s="439" t="n"/>
      <c r="G34" s="384" t="n"/>
      <c r="H34" s="439" t="n"/>
    </row>
    <row r="35">
      <c r="A35" s="438" t="n"/>
      <c r="B35" s="40" t="n"/>
      <c r="C35" s="34" t="n"/>
      <c r="D35" s="44" t="n"/>
      <c r="E35" s="439" t="n"/>
      <c r="F35" s="439" t="n"/>
      <c r="G35" s="384" t="n"/>
      <c r="H35" s="439" t="n"/>
    </row>
    <row r="36">
      <c r="A36" s="438" t="n"/>
      <c r="B36" s="40" t="n"/>
      <c r="C36" s="34" t="n"/>
      <c r="D36" s="44" t="n"/>
      <c r="E36" s="439" t="n"/>
      <c r="F36" s="439" t="n"/>
      <c r="G36" s="384" t="n"/>
      <c r="H36" s="439" t="n"/>
    </row>
    <row r="37">
      <c r="A37" s="438" t="n"/>
      <c r="B37" s="40" t="n"/>
      <c r="C37" s="34" t="n"/>
      <c r="D37" s="44" t="n"/>
      <c r="E37" s="439" t="n"/>
      <c r="F37" s="439" t="n"/>
      <c r="G37" s="384" t="n"/>
      <c r="H37" s="439" t="n"/>
    </row>
    <row r="38">
      <c r="A38" s="438" t="n"/>
      <c r="B38" s="40" t="n"/>
      <c r="C38" s="34" t="n"/>
      <c r="D38" s="44" t="n"/>
      <c r="E38" s="439" t="n"/>
      <c r="F38" s="439" t="n"/>
      <c r="G38" s="384" t="n"/>
      <c r="H38" s="439" t="n"/>
    </row>
    <row r="39">
      <c r="A39" s="438" t="n"/>
      <c r="B39" s="40" t="n"/>
      <c r="C39" s="34" t="n"/>
      <c r="D39" s="44" t="n"/>
      <c r="E39" s="439" t="n"/>
      <c r="F39" s="439" t="n"/>
      <c r="G39" s="384" t="n"/>
      <c r="H39" s="439" t="n"/>
    </row>
    <row r="40">
      <c r="A40" s="438" t="n"/>
      <c r="B40" s="40" t="n"/>
      <c r="C40" s="34" t="n"/>
      <c r="D40" s="44" t="n"/>
      <c r="E40" s="439" t="n"/>
      <c r="F40" s="439" t="n"/>
      <c r="G40" s="384" t="n"/>
      <c r="H40" s="439" t="n"/>
    </row>
    <row r="41">
      <c r="A41" s="438" t="n"/>
      <c r="B41" s="40" t="n"/>
      <c r="C41" s="34" t="n"/>
      <c r="D41" s="44" t="n"/>
      <c r="E41" s="439" t="n"/>
      <c r="F41" s="439" t="n"/>
      <c r="G41" s="384" t="n"/>
      <c r="H41" s="439" t="n"/>
    </row>
    <row r="42">
      <c r="A42" s="438" t="n"/>
      <c r="B42" s="40" t="n"/>
      <c r="C42" s="34" t="n"/>
      <c r="D42" s="44" t="n"/>
      <c r="E42" s="439" t="n"/>
      <c r="F42" s="439" t="n"/>
      <c r="G42" s="384" t="n"/>
      <c r="H42" s="439" t="n"/>
    </row>
    <row r="43">
      <c r="A43" s="438" t="n"/>
      <c r="B43" s="40" t="n"/>
      <c r="C43" s="34" t="n"/>
      <c r="D43" s="44" t="n"/>
      <c r="E43" s="439" t="n"/>
      <c r="F43" s="439" t="n"/>
      <c r="G43" s="384" t="n"/>
      <c r="H43" s="439" t="n"/>
    </row>
    <row r="44">
      <c r="A44" s="438" t="n"/>
      <c r="B44" s="40" t="n"/>
      <c r="C44" s="34" t="n"/>
      <c r="D44" s="44" t="n"/>
      <c r="E44" s="439" t="n"/>
      <c r="F44" s="439" t="n"/>
      <c r="G44" s="384" t="n"/>
      <c r="H44" s="439" t="n"/>
    </row>
    <row r="45">
      <c r="A45" s="438" t="n"/>
      <c r="B45" s="40" t="n"/>
      <c r="C45" s="34" t="n"/>
      <c r="D45" s="44" t="n"/>
      <c r="E45" s="439" t="n"/>
      <c r="F45" s="439" t="n"/>
      <c r="G45" s="384" t="n"/>
      <c r="H45" s="439" t="n"/>
    </row>
    <row r="46">
      <c r="A46" s="438" t="n"/>
      <c r="B46" s="40" t="n"/>
      <c r="C46" s="34" t="n"/>
      <c r="D46" s="44" t="n"/>
      <c r="E46" s="439" t="n"/>
      <c r="F46" s="439" t="n"/>
      <c r="G46" s="384" t="n"/>
      <c r="H46" s="439" t="n"/>
    </row>
    <row r="47">
      <c r="A47" s="438" t="n"/>
      <c r="B47" s="40" t="n"/>
      <c r="C47" s="34" t="n"/>
      <c r="D47" s="44" t="n"/>
      <c r="E47" s="439" t="n"/>
      <c r="F47" s="439" t="n"/>
      <c r="G47" s="384" t="n"/>
      <c r="H47" s="439" t="n"/>
    </row>
    <row r="48">
      <c r="A48" s="438" t="n"/>
      <c r="B48" s="40" t="n"/>
      <c r="C48" s="34" t="n"/>
      <c r="D48" s="44" t="n"/>
      <c r="E48" s="439" t="n"/>
      <c r="F48" s="439" t="n"/>
      <c r="G48" s="384" t="n"/>
      <c r="H48" s="439" t="n"/>
    </row>
    <row r="49">
      <c r="A49" s="438" t="n"/>
      <c r="B49" s="40" t="n"/>
      <c r="C49" s="34" t="n"/>
      <c r="D49" s="44" t="n"/>
      <c r="E49" s="439" t="n"/>
      <c r="F49" s="439" t="n"/>
      <c r="G49" s="384" t="n"/>
      <c r="H49" s="439" t="n"/>
    </row>
    <row r="50">
      <c r="A50" s="438" t="n"/>
      <c r="B50" s="40" t="n"/>
      <c r="C50" s="34" t="n"/>
      <c r="D50" s="44" t="n"/>
      <c r="E50" s="439" t="n"/>
      <c r="F50" s="439" t="n"/>
      <c r="G50" s="384" t="n"/>
      <c r="H50" s="439" t="n"/>
    </row>
    <row r="51">
      <c r="A51" s="438" t="n"/>
      <c r="B51" s="40" t="n"/>
      <c r="C51" s="34" t="n"/>
      <c r="D51" s="44" t="n"/>
      <c r="E51" s="439" t="n"/>
      <c r="F51" s="439" t="n"/>
      <c r="G51" s="384" t="n"/>
      <c r="H51" s="439" t="n"/>
    </row>
    <row r="52">
      <c r="A52" s="438" t="n"/>
      <c r="B52" s="40" t="n"/>
      <c r="C52" s="34" t="n"/>
      <c r="D52" s="44" t="n"/>
      <c r="E52" s="439" t="n"/>
      <c r="F52" s="439" t="n"/>
      <c r="G52" s="384" t="n"/>
      <c r="H52" s="439" t="n"/>
    </row>
    <row r="53">
      <c r="A53" s="438" t="n"/>
      <c r="B53" s="40" t="n"/>
      <c r="C53" s="34" t="n"/>
      <c r="D53" s="44" t="n"/>
      <c r="E53" s="439" t="n"/>
      <c r="F53" s="439" t="n"/>
      <c r="G53" s="384" t="n"/>
      <c r="H53" s="439" t="n"/>
    </row>
    <row r="54">
      <c r="A54" s="438" t="n"/>
      <c r="B54" s="40" t="n"/>
      <c r="C54" s="34" t="n"/>
      <c r="D54" s="44" t="n"/>
      <c r="E54" s="439" t="n"/>
      <c r="F54" s="439" t="n"/>
      <c r="G54" s="384" t="n"/>
      <c r="H54" s="439" t="n"/>
    </row>
    <row r="55">
      <c r="A55" s="438" t="n"/>
      <c r="B55" s="40" t="n"/>
      <c r="C55" s="34" t="n"/>
      <c r="D55" s="44" t="n"/>
      <c r="E55" s="439" t="n"/>
      <c r="F55" s="439" t="n"/>
      <c r="G55" s="384" t="n"/>
      <c r="H55" s="439" t="n"/>
    </row>
    <row r="56">
      <c r="A56" s="438" t="n"/>
      <c r="B56" s="40" t="n"/>
      <c r="C56" s="34" t="n"/>
      <c r="D56" s="44" t="n"/>
      <c r="E56" s="439" t="n"/>
      <c r="F56" s="439" t="n"/>
      <c r="G56" s="384" t="n"/>
      <c r="H56" s="439" t="n"/>
    </row>
    <row r="57">
      <c r="A57" s="438" t="n"/>
      <c r="B57" s="40" t="n"/>
      <c r="C57" s="34" t="n"/>
      <c r="D57" s="44" t="n"/>
      <c r="E57" s="439" t="n"/>
      <c r="F57" s="439" t="n"/>
      <c r="G57" s="384" t="n"/>
      <c r="H57" s="439" t="n"/>
    </row>
    <row r="58">
      <c r="A58" s="438" t="n"/>
      <c r="B58" s="40" t="n"/>
      <c r="C58" s="34" t="n"/>
      <c r="D58" s="44" t="n"/>
      <c r="E58" s="439" t="n"/>
      <c r="F58" s="439" t="n"/>
      <c r="G58" s="384" t="n"/>
      <c r="H58" s="439" t="n"/>
    </row>
    <row r="59">
      <c r="A59" s="438" t="n"/>
      <c r="B59" s="40" t="n"/>
      <c r="C59" s="34" t="n"/>
      <c r="D59" s="44" t="n"/>
      <c r="E59" s="439" t="n"/>
      <c r="F59" s="439" t="n"/>
      <c r="G59" s="384" t="n"/>
      <c r="H59" s="439" t="n"/>
    </row>
    <row r="60">
      <c r="A60" s="438" t="n"/>
      <c r="B60" s="40" t="n"/>
      <c r="C60" s="34" t="n"/>
      <c r="D60" s="44" t="n"/>
      <c r="E60" s="439" t="n"/>
      <c r="F60" s="439" t="n"/>
      <c r="G60" s="384" t="n"/>
      <c r="H60" s="439" t="n"/>
    </row>
    <row r="61">
      <c r="A61" s="438" t="n"/>
      <c r="B61" s="40" t="n"/>
      <c r="C61" s="34" t="n"/>
      <c r="D61" s="44" t="n"/>
      <c r="E61" s="439" t="n"/>
      <c r="F61" s="439" t="n"/>
      <c r="G61" s="384" t="n"/>
      <c r="H61" s="439" t="n"/>
    </row>
    <row r="62">
      <c r="A62" s="438" t="n"/>
      <c r="B62" s="40" t="n"/>
      <c r="C62" s="34" t="n"/>
      <c r="D62" s="44" t="n"/>
      <c r="E62" s="439" t="n"/>
      <c r="F62" s="439" t="n"/>
      <c r="G62" s="384" t="n"/>
      <c r="H62" s="439" t="n"/>
    </row>
    <row r="63">
      <c r="A63" s="438" t="n"/>
      <c r="B63" s="40" t="n"/>
      <c r="C63" s="34" t="n"/>
      <c r="D63" s="44" t="n"/>
      <c r="E63" s="439" t="n"/>
      <c r="F63" s="439" t="n"/>
      <c r="G63" s="384" t="n"/>
      <c r="H63" s="439" t="n"/>
    </row>
    <row r="64">
      <c r="A64" s="438" t="n"/>
      <c r="B64" s="40" t="n"/>
      <c r="C64" s="34" t="n"/>
      <c r="D64" s="44" t="n"/>
      <c r="E64" s="439" t="n"/>
      <c r="F64" s="439" t="n"/>
      <c r="G64" s="384" t="n"/>
      <c r="H64" s="439" t="n"/>
    </row>
    <row r="65">
      <c r="A65" s="438" t="n"/>
      <c r="B65" s="40" t="n"/>
      <c r="C65" s="34" t="n"/>
      <c r="D65" s="44" t="n"/>
      <c r="E65" s="439" t="n"/>
      <c r="F65" s="439" t="n"/>
      <c r="G65" s="384" t="n"/>
      <c r="H65" s="439" t="n"/>
    </row>
    <row r="66">
      <c r="A66" s="438" t="n"/>
      <c r="B66" s="40" t="n"/>
      <c r="C66" s="34" t="n"/>
      <c r="D66" s="44" t="n"/>
      <c r="E66" s="439" t="n"/>
      <c r="F66" s="439" t="n"/>
      <c r="G66" s="384" t="n"/>
      <c r="H66" s="439" t="n"/>
    </row>
    <row r="67">
      <c r="A67" s="438" t="n"/>
      <c r="B67" s="40" t="n"/>
      <c r="C67" s="34" t="n"/>
      <c r="D67" s="44" t="n"/>
      <c r="E67" s="439" t="n"/>
      <c r="F67" s="439" t="n"/>
      <c r="G67" s="384" t="n"/>
      <c r="H67" s="439" t="n"/>
    </row>
    <row r="68">
      <c r="A68" s="438" t="n"/>
      <c r="B68" s="40" t="n"/>
      <c r="C68" s="34" t="n"/>
      <c r="D68" s="44" t="n"/>
      <c r="E68" s="439" t="n"/>
      <c r="F68" s="439" t="n"/>
      <c r="G68" s="384" t="n"/>
      <c r="H68" s="439" t="n"/>
    </row>
    <row r="69">
      <c r="A69" s="438" t="n"/>
      <c r="B69" s="40" t="n"/>
      <c r="C69" s="34" t="n"/>
      <c r="D69" s="44" t="n"/>
      <c r="E69" s="439" t="n"/>
      <c r="F69" s="439" t="n"/>
      <c r="G69" s="384" t="n"/>
      <c r="H69" s="439" t="n"/>
    </row>
    <row r="70">
      <c r="A70" s="438" t="n"/>
      <c r="B70" s="40" t="n"/>
      <c r="C70" s="34" t="n"/>
      <c r="D70" s="44" t="n"/>
      <c r="E70" s="439" t="n"/>
      <c r="F70" s="439" t="n"/>
      <c r="G70" s="384" t="n"/>
      <c r="H70" s="439" t="n"/>
    </row>
    <row r="71">
      <c r="A71" s="438" t="n"/>
      <c r="B71" s="40" t="n"/>
      <c r="C71" s="34" t="n"/>
      <c r="D71" s="44" t="n"/>
      <c r="E71" s="439" t="n"/>
      <c r="F71" s="439" t="n"/>
      <c r="G71" s="384" t="n"/>
      <c r="H71" s="439" t="n"/>
    </row>
    <row r="72">
      <c r="A72" s="438" t="n"/>
      <c r="B72" s="40" t="n"/>
      <c r="C72" s="34" t="n"/>
      <c r="D72" s="44" t="n"/>
      <c r="E72" s="439" t="n"/>
      <c r="F72" s="439" t="n"/>
      <c r="G72" s="384" t="n"/>
      <c r="H72" s="439" t="n"/>
    </row>
    <row r="73">
      <c r="A73" s="438" t="n"/>
      <c r="B73" s="40" t="n"/>
      <c r="C73" s="34" t="n"/>
      <c r="D73" s="44" t="n"/>
      <c r="E73" s="439" t="n"/>
      <c r="F73" s="439" t="n"/>
      <c r="G73" s="384" t="n"/>
      <c r="H73" s="439" t="n"/>
    </row>
    <row r="74">
      <c r="A74" s="438" t="n"/>
      <c r="B74" s="40" t="n"/>
      <c r="C74" s="34" t="n"/>
      <c r="D74" s="44" t="n"/>
      <c r="E74" s="439" t="n"/>
      <c r="F74" s="439" t="n"/>
      <c r="G74" s="384" t="n"/>
      <c r="H74" s="439" t="n"/>
    </row>
    <row r="75">
      <c r="A75" s="438" t="n"/>
      <c r="B75" s="40" t="n"/>
      <c r="C75" s="34" t="n"/>
      <c r="D75" s="44" t="n"/>
      <c r="E75" s="439" t="n"/>
      <c r="F75" s="439" t="n"/>
      <c r="G75" s="384" t="n"/>
      <c r="H75" s="439" t="n"/>
    </row>
    <row r="76">
      <c r="A76" s="438" t="n"/>
      <c r="B76" s="40" t="n"/>
      <c r="C76" s="34" t="n"/>
      <c r="D76" s="44" t="n"/>
      <c r="E76" s="439" t="n"/>
      <c r="F76" s="439" t="n"/>
      <c r="G76" s="384" t="n"/>
      <c r="H76" s="439" t="n"/>
    </row>
    <row r="77">
      <c r="A77" s="438" t="n"/>
      <c r="B77" s="40" t="n"/>
      <c r="C77" s="34" t="n"/>
      <c r="D77" s="44" t="n"/>
      <c r="E77" s="439" t="n"/>
      <c r="F77" s="439" t="n"/>
      <c r="G77" s="384" t="n"/>
      <c r="H77" s="439" t="n"/>
    </row>
    <row r="78">
      <c r="A78" s="438" t="n"/>
      <c r="B78" s="40" t="n"/>
      <c r="C78" s="34" t="n"/>
      <c r="D78" s="44" t="n"/>
      <c r="E78" s="439" t="n"/>
      <c r="F78" s="439" t="n"/>
      <c r="G78" s="384" t="n"/>
      <c r="H78" s="439" t="n"/>
    </row>
    <row r="79">
      <c r="A79" s="438" t="n"/>
      <c r="B79" s="40" t="n"/>
      <c r="C79" s="34" t="n"/>
      <c r="D79" s="44" t="n"/>
      <c r="E79" s="439" t="n"/>
      <c r="F79" s="439" t="n"/>
      <c r="G79" s="384" t="n"/>
      <c r="H79" s="439" t="n"/>
    </row>
    <row r="80">
      <c r="A80" s="438" t="n"/>
      <c r="B80" s="40" t="n"/>
      <c r="C80" s="34" t="n"/>
      <c r="D80" s="44" t="n"/>
      <c r="E80" s="439" t="n"/>
      <c r="F80" s="439" t="n"/>
      <c r="G80" s="384" t="n"/>
      <c r="H80" s="439" t="n"/>
    </row>
    <row r="81">
      <c r="A81" s="438" t="n"/>
      <c r="B81" s="40" t="n"/>
      <c r="C81" s="34" t="n"/>
      <c r="D81" s="44" t="n"/>
      <c r="E81" s="439" t="n"/>
      <c r="F81" s="439" t="n"/>
      <c r="G81" s="384" t="n"/>
      <c r="H81" s="439" t="n"/>
    </row>
    <row r="82">
      <c r="A82" s="438" t="n"/>
      <c r="B82" s="40" t="n"/>
      <c r="C82" s="34" t="n"/>
      <c r="D82" s="44" t="n"/>
      <c r="E82" s="439" t="n"/>
      <c r="F82" s="439" t="n"/>
      <c r="G82" s="384" t="n"/>
      <c r="H82" s="439" t="n"/>
    </row>
    <row r="83">
      <c r="A83" s="438" t="n"/>
      <c r="B83" s="40" t="n"/>
      <c r="C83" s="34" t="n"/>
      <c r="D83" s="44" t="n"/>
      <c r="E83" s="439" t="n"/>
      <c r="F83" s="439" t="n"/>
      <c r="G83" s="384" t="n"/>
      <c r="H83" s="439" t="n"/>
    </row>
    <row r="84">
      <c r="A84" s="438" t="n"/>
      <c r="B84" s="40" t="n"/>
      <c r="C84" s="34" t="n"/>
      <c r="D84" s="44" t="n"/>
      <c r="E84" s="439" t="n"/>
      <c r="F84" s="439" t="n"/>
      <c r="G84" s="384" t="n"/>
      <c r="H84" s="439" t="n"/>
    </row>
    <row r="85">
      <c r="A85" s="438" t="n"/>
      <c r="B85" s="40" t="n"/>
      <c r="C85" s="34" t="n"/>
      <c r="D85" s="44" t="n"/>
      <c r="E85" s="439" t="n"/>
      <c r="F85" s="439" t="n"/>
      <c r="G85" s="384" t="n"/>
      <c r="H85" s="439" t="n"/>
    </row>
    <row r="86">
      <c r="A86" s="438" t="n"/>
      <c r="B86" s="40" t="n"/>
      <c r="C86" s="34" t="n"/>
      <c r="D86" s="44" t="n"/>
      <c r="E86" s="439" t="n"/>
      <c r="F86" s="439" t="n"/>
      <c r="G86" s="384" t="n"/>
      <c r="H86" s="439" t="n"/>
    </row>
    <row r="87">
      <c r="A87" s="438" t="n"/>
      <c r="B87" s="40" t="n"/>
      <c r="C87" s="34" t="n"/>
      <c r="D87" s="44" t="n"/>
      <c r="E87" s="439" t="n"/>
      <c r="F87" s="439" t="n"/>
      <c r="G87" s="384" t="n"/>
      <c r="H87" s="439" t="n"/>
    </row>
    <row r="88">
      <c r="A88" s="438" t="n"/>
      <c r="B88" s="40" t="n"/>
      <c r="C88" s="34" t="n"/>
      <c r="D88" s="44" t="n"/>
      <c r="E88" s="439" t="n"/>
      <c r="F88" s="439" t="n"/>
      <c r="G88" s="384" t="n"/>
      <c r="H88" s="439" t="n"/>
    </row>
    <row r="89">
      <c r="A89" s="438" t="n"/>
      <c r="B89" s="40" t="n"/>
      <c r="C89" s="34" t="n"/>
      <c r="D89" s="44" t="n"/>
      <c r="E89" s="439" t="n"/>
      <c r="F89" s="439" t="n"/>
      <c r="G89" s="384" t="n"/>
      <c r="H89" s="439" t="n"/>
    </row>
    <row r="90">
      <c r="A90" s="438" t="n"/>
      <c r="B90" s="40" t="n"/>
      <c r="C90" s="34" t="n"/>
      <c r="D90" s="44" t="n"/>
      <c r="E90" s="439" t="n"/>
      <c r="F90" s="439" t="n"/>
      <c r="G90" s="384" t="n"/>
      <c r="H90" s="439" t="n"/>
    </row>
    <row r="91">
      <c r="A91" s="438" t="n"/>
      <c r="B91" s="40" t="n"/>
      <c r="C91" s="34" t="n"/>
      <c r="D91" s="44" t="n"/>
      <c r="E91" s="439" t="n"/>
      <c r="F91" s="439" t="n"/>
      <c r="G91" s="384" t="n"/>
      <c r="H91" s="439" t="n"/>
    </row>
    <row r="92">
      <c r="A92" s="438" t="n"/>
      <c r="B92" s="40" t="n"/>
      <c r="C92" s="34" t="n"/>
      <c r="D92" s="44" t="n"/>
      <c r="E92" s="439" t="n"/>
      <c r="F92" s="439" t="n"/>
      <c r="G92" s="384" t="n"/>
      <c r="H92" s="439" t="n"/>
    </row>
    <row r="93">
      <c r="A93" s="438" t="n"/>
      <c r="B93" s="40" t="n"/>
      <c r="C93" s="34" t="n"/>
      <c r="D93" s="44" t="n"/>
      <c r="E93" s="439" t="n"/>
      <c r="F93" s="439" t="n"/>
      <c r="G93" s="384" t="n"/>
      <c r="H93" s="439" t="n"/>
    </row>
    <row r="94">
      <c r="A94" s="438" t="n"/>
      <c r="B94" s="40" t="n"/>
      <c r="C94" s="34" t="n"/>
      <c r="D94" s="44" t="n"/>
      <c r="E94" s="439" t="n"/>
      <c r="F94" s="439" t="n"/>
      <c r="G94" s="384" t="n"/>
      <c r="H94" s="439" t="n"/>
    </row>
    <row r="95">
      <c r="A95" s="438" t="n"/>
      <c r="B95" s="40" t="n"/>
      <c r="C95" s="34" t="n"/>
      <c r="D95" s="44" t="n"/>
      <c r="E95" s="44" t="n"/>
      <c r="F95" s="44" t="n"/>
      <c r="G95" s="44" t="n"/>
      <c r="H95" s="44" t="n"/>
    </row>
    <row r="96">
      <c r="A96" s="438" t="n"/>
      <c r="B96" s="40" t="n"/>
      <c r="C96" s="34" t="n"/>
      <c r="D96" s="44" t="n"/>
      <c r="E96" s="44" t="n"/>
      <c r="F96" s="44" t="n"/>
      <c r="G96" s="44" t="n"/>
      <c r="H96" s="44" t="n"/>
    </row>
    <row r="97">
      <c r="A97" s="438" t="n"/>
      <c r="B97" s="40" t="n"/>
      <c r="C97" s="34" t="n"/>
      <c r="D97" s="44" t="n"/>
      <c r="E97" s="44" t="n"/>
      <c r="F97" s="44" t="n"/>
      <c r="G97" s="44" t="n"/>
      <c r="H97" s="44" t="n"/>
    </row>
    <row r="98">
      <c r="A98" s="438" t="n"/>
      <c r="B98" s="40" t="n"/>
      <c r="C98" s="34" t="n"/>
      <c r="D98" s="44" t="n"/>
      <c r="E98" s="44" t="n"/>
      <c r="F98" s="44" t="n"/>
      <c r="G98" s="44" t="n"/>
      <c r="H98" s="44" t="n"/>
    </row>
    <row r="99">
      <c r="A99" s="438" t="n"/>
      <c r="B99" s="40" t="n"/>
      <c r="C99" s="34" t="n"/>
      <c r="D99" s="44" t="n"/>
      <c r="E99" s="44" t="n"/>
      <c r="F99" s="44" t="n"/>
      <c r="G99" s="44" t="n"/>
      <c r="H99" s="44" t="n"/>
    </row>
    <row r="100">
      <c r="A100" s="438" t="n"/>
      <c r="B100" s="40" t="n"/>
      <c r="C100" s="34" t="n"/>
      <c r="D100" s="44" t="n"/>
      <c r="E100" s="44" t="n"/>
      <c r="F100" s="44" t="n"/>
      <c r="G100" s="44" t="n"/>
      <c r="H100" s="44" t="n"/>
    </row>
    <row r="101">
      <c r="A101" s="438" t="n"/>
      <c r="B101" s="40" t="n"/>
      <c r="C101" s="34" t="n"/>
      <c r="D101" s="44" t="n"/>
      <c r="E101" s="44" t="n"/>
      <c r="F101" s="44" t="n"/>
      <c r="G101" s="44" t="n"/>
      <c r="H101" s="44" t="n"/>
    </row>
    <row r="102">
      <c r="A102" s="438" t="n"/>
      <c r="B102" s="40" t="n"/>
      <c r="C102" s="34" t="n"/>
      <c r="D102" s="44" t="n"/>
      <c r="E102" s="44" t="n"/>
      <c r="F102" s="44" t="n"/>
      <c r="G102" s="44" t="n"/>
      <c r="H102" s="44" t="n"/>
    </row>
    <row r="103">
      <c r="A103" s="438" t="n"/>
      <c r="B103" s="40" t="n"/>
      <c r="C103" s="34" t="n"/>
      <c r="D103" s="44" t="n"/>
      <c r="E103" s="44" t="n"/>
      <c r="F103" s="44" t="n"/>
      <c r="G103" s="44" t="n"/>
      <c r="H103" s="44" t="n"/>
    </row>
    <row r="104">
      <c r="A104" s="440" t="n"/>
      <c r="B104" s="42" t="n"/>
      <c r="C104" s="36" t="n"/>
      <c r="D104" s="45" t="n"/>
      <c r="E104" s="45" t="n"/>
      <c r="F104" s="45" t="n"/>
      <c r="G104" s="45" t="n"/>
      <c r="H104" s="45" t="n"/>
    </row>
    <row r="105">
      <c r="A105" s="441" t="n">
        <v>46242</v>
      </c>
      <c r="B105" s="42" t="inlineStr">
        <is>
          <t>晚餐</t>
        </is>
      </c>
      <c r="C105" s="36" t="inlineStr"/>
      <c r="D105" s="45" t="inlineStr">
        <is>
          <t>40g 乳清 + 1 杯豆漿</t>
        </is>
      </c>
      <c r="E105" s="45" t="n">
        <v>43</v>
      </c>
      <c r="F105" s="45" t="n">
        <v>304</v>
      </c>
      <c r="G105" s="45" t="inlineStr">
        <is>
          <t>晚餐後；未提供乳清品牌/營養標示與豆漿品牌/容量，蛋白質與熱量待補。 估算：沿用既有假設，40 g 乳清約蛋白質 30 g、160 kcal、碳水 4 g；豆漿約蛋白質 13 g、144 kcal、碳水 13 g。</t>
        </is>
      </c>
      <c r="H105" s="45" t="n">
        <v>17</v>
      </c>
    </row>
    <row r="106">
      <c r="A106" s="441" t="n">
        <v>46243</v>
      </c>
      <c r="B106" s="42" t="inlineStr">
        <is>
          <t>早餐</t>
        </is>
      </c>
      <c r="C106" s="36" t="inlineStr">
        <is>
          <t>7-ELEVEN（溏心蛋）</t>
        </is>
      </c>
      <c r="D106" s="45" t="inlineStr">
        <is>
          <t>地瓜 + 7-ELEVEN 溏心蛋 2 顆 + 雞胸肉</t>
        </is>
      </c>
      <c r="E106" s="45" t="n">
        <v>42.8</v>
      </c>
      <c r="F106" s="45" t="n">
        <v>391</v>
      </c>
      <c r="G106" s="45" t="inlineStr">
        <is>
          <t>估算：地瓜與雞胸肉沿用 2026-08-08 早餐設定（蛋白質 32 g、熱量 285 kcal、碳水 35 g）；7-ELEVEN 溏心蛋每顆以蛋白質 5.4 g、熱量 53 kcal、碳水 1.4 g 估算。</t>
        </is>
      </c>
      <c r="H106" s="45" t="n">
        <v>37.8</v>
      </c>
    </row>
    <row r="107">
      <c r="A107" s="441" t="n">
        <v>46243</v>
      </c>
      <c r="B107" s="42" t="inlineStr">
        <is>
          <t>晚餐</t>
        </is>
      </c>
      <c r="C107" s="36" t="inlineStr"/>
      <c r="D107" s="45" t="inlineStr">
        <is>
          <t>雞排 + 鰻魚 + 豆干 + 空心菜 + 豆腐 + 滷蛋 1 顆 + 素肚</t>
        </is>
      </c>
      <c r="E107" s="45" t="n">
        <v>95</v>
      </c>
      <c r="F107" s="45" t="n">
        <v>1250</v>
      </c>
      <c r="G107" s="45" t="inlineStr">
        <is>
          <t>依照片估算：一份炸雞排、鰻魚、豆干、空心菜、豆腐、滷蛋與素肚；實際份量、醬汁與用油未提供，營養數值為整盤估算。 蛋白質依使用者確認改採較保守估算 95 g。</t>
        </is>
      </c>
      <c r="H107" s="45" t="n">
        <v>55</v>
      </c>
    </row>
    <row r="108">
      <c r="A108" s="441" t="n">
        <v>46243</v>
      </c>
      <c r="B108" s="42" t="inlineStr">
        <is>
          <t>午餐</t>
        </is>
      </c>
      <c r="C108" s="36" t="inlineStr">
        <is>
          <t>使用者回報</t>
        </is>
      </c>
      <c r="D108" s="45" t="inlineStr">
        <is>
          <t>未進食</t>
        </is>
      </c>
      <c r="E108" s="45" t="inlineStr"/>
      <c r="F108" s="45" t="inlineStr"/>
      <c r="G108" s="45" t="inlineStr">
        <is>
          <t>使用者明確回報午餐未進食。</t>
        </is>
      </c>
      <c r="H108" s="45" t="inlineStr"/>
    </row>
    <row r="109">
      <c r="A109" s="441" t="n">
        <v>46244</v>
      </c>
      <c r="B109" s="42" t="inlineStr">
        <is>
          <t>早餐</t>
        </is>
      </c>
      <c r="C109" s="36" t="inlineStr"/>
      <c r="D109" s="45" t="inlineStr">
        <is>
          <t>地瓜</t>
        </is>
      </c>
      <c r="E109" s="45" t="n">
        <v>2</v>
      </c>
      <c r="F109" s="45" t="n">
        <v>125</v>
      </c>
      <c r="G109" s="45" t="inlineStr">
        <is>
          <t>估算：沿用先前地瓜固定設定，約蛋白質 2 g、碳水 35 g、125 kcal。</t>
        </is>
      </c>
      <c r="H109" s="45" t="n">
        <v>35</v>
      </c>
    </row>
    <row r="110">
      <c r="A110" s="441" t="n">
        <v>46244</v>
      </c>
      <c r="B110" s="42" t="inlineStr">
        <is>
          <t>午餐</t>
        </is>
      </c>
      <c r="C110" s="36" t="inlineStr"/>
      <c r="D110" s="45" t="inlineStr">
        <is>
          <t>豆漿 + 乳清蛋白粉 60g</t>
        </is>
      </c>
      <c r="E110" s="45" t="n">
        <v>58</v>
      </c>
      <c r="F110" s="45" t="n">
        <v>384</v>
      </c>
      <c r="G110" s="45" t="inlineStr">
        <is>
          <t>估算：沿用 2026-08-08 相同組合設定；乳清 60 g 約蛋白質 45 g、240 kcal、碳水 6 g；豆漿約蛋白質 13 g、144 kcal、碳水 13 g。</t>
        </is>
      </c>
      <c r="H110" s="45" t="n">
        <v>19</v>
      </c>
    </row>
    <row r="111">
      <c r="A111" s="441" t="n">
        <v>46244</v>
      </c>
      <c r="B111" s="42" t="inlineStr">
        <is>
          <t>晚餐</t>
        </is>
      </c>
      <c r="C111" s="36" t="inlineStr"/>
      <c r="D111" s="45" t="inlineStr">
        <is>
          <t>牛肉飯 特大碗（飯一半） + 乳清蛋白粉 60g + 豆漿</t>
        </is>
      </c>
      <c r="E111" s="45" t="n">
        <v>93</v>
      </c>
      <c r="F111" s="45" t="n">
        <v>1184</v>
      </c>
      <c r="G111" s="45" t="inlineStr">
        <is>
          <t>估算：牛肉飯為特大碗但白飯實際吃約一半，先估蛋白質 35 g、碳水 60 g、800 kcal；乳清 60 g + 豆漿沿用既有設定，約蛋白質 58 g、碳水 19 g、384 kcal。合計約蛋白質 93 g、碳水 79 g、1184 kcal；店家、實際牛肉量與乳清/豆漿品牌未提供。</t>
        </is>
      </c>
      <c r="H111" s="45" t="n">
        <v>79</v>
      </c>
    </row>
    <row r="112">
      <c r="A112" s="441" t="n">
        <v>46245</v>
      </c>
      <c r="B112" s="42" t="inlineStr">
        <is>
          <t>早餐</t>
        </is>
      </c>
      <c r="C112" s="36" t="inlineStr"/>
      <c r="D112" s="45" t="inlineStr">
        <is>
          <t>豆漿 + 乳清蛋白粉 40g + 地瓜</t>
        </is>
      </c>
      <c r="E112" s="45" t="n">
        <v>45</v>
      </c>
      <c r="F112" s="45" t="n">
        <v>429</v>
      </c>
      <c r="G112" s="45" t="inlineStr">
        <is>
          <t>估算：沿用既有設定；乳清蛋白粉 40 g 約蛋白質 30 g、碳水 4 g、160 kcal；豆漿約蛋白質 13 g、碳水 13 g、144 kcal；地瓜約蛋白質 2 g、碳水 35 g、125 kcal。合計約蛋白質 45 g、碳水 52 g、429 kcal；品牌與實際份量未提供。</t>
        </is>
      </c>
      <c r="H112" s="45" t="n">
        <v>52</v>
      </c>
    </row>
    <row r="113">
      <c r="A113" s="441" t="n">
        <v>46245</v>
      </c>
      <c r="B113" s="42" t="inlineStr">
        <is>
          <t>晚餐</t>
        </is>
      </c>
      <c r="C113" s="36" t="inlineStr"/>
      <c r="D113" s="45" t="inlineStr">
        <is>
          <t>運動前：豆漿 + 乳清蛋白粉 40g</t>
        </is>
      </c>
      <c r="E113" s="45" t="n">
        <v>43</v>
      </c>
      <c r="F113" s="45" t="n">
        <v>304</v>
      </c>
      <c r="G113" s="45" t="inlineStr">
        <is>
          <t>估算沿用既有設定：乳清蛋白粉 40g 約蛋白質 30g、碳水 4g、160 kcal；豆漿約蛋白質 13g、碳水 13g、144 kcal。</t>
        </is>
      </c>
      <c r="H113" s="45" t="n">
        <v>17</v>
      </c>
    </row>
    <row r="114">
      <c r="A114" s="441" t="n">
        <v>46245</v>
      </c>
      <c r="B114" s="42" t="inlineStr">
        <is>
          <t>晚餐</t>
        </is>
      </c>
      <c r="C114" s="36" t="inlineStr"/>
      <c r="D114" s="45" t="inlineStr">
        <is>
          <t>雙倍雞肉飯</t>
        </is>
      </c>
      <c r="E114" s="45" t="n">
        <v>65</v>
      </c>
      <c r="F114" s="45" t="n">
        <v>1050</v>
      </c>
      <c r="G114" s="45" t="inlineStr">
        <is>
          <t>估算：沿用先前雙倍雞肉飯的雞肉份量設定，這次未註明飯減半，因此按完整一份白飯估算；約蛋白質 65 g、碳水 95 g、1050 kcal。實際醬汁與用油可能造成誤差。</t>
        </is>
      </c>
      <c r="H114" s="45" t="n">
        <v>95</v>
      </c>
    </row>
    <row r="115">
      <c r="A115" s="441" t="n">
        <v>46245</v>
      </c>
      <c r="B115" s="42" t="inlineStr">
        <is>
          <t>午餐</t>
        </is>
      </c>
      <c r="C115" s="36" t="inlineStr">
        <is>
          <t>使用者回報</t>
        </is>
      </c>
      <c r="D115" s="45" t="inlineStr">
        <is>
          <t>未進食</t>
        </is>
      </c>
      <c r="E115" s="45" t="inlineStr"/>
      <c r="F115" s="45" t="inlineStr"/>
      <c r="G115" s="45" t="inlineStr">
        <is>
          <t>使用者明確回報午餐未進食。</t>
        </is>
      </c>
      <c r="H115" s="45" t="inlineStr"/>
    </row>
    <row r="116">
      <c r="A116" s="441" t="n">
        <v>46246</v>
      </c>
      <c r="B116" s="42" t="inlineStr">
        <is>
          <t>早餐</t>
        </is>
      </c>
      <c r="C116" s="36" t="inlineStr">
        <is>
          <t>使用者回報</t>
        </is>
      </c>
      <c r="D116" s="45" t="inlineStr">
        <is>
          <t>地瓜 + 豆漿 + 乳清蛋白粉 40g</t>
        </is>
      </c>
      <c r="E116" s="45" t="n">
        <v>45</v>
      </c>
      <c r="F116" s="45" t="n">
        <v>429</v>
      </c>
      <c r="G116" s="45" t="inlineStr">
        <is>
          <t>估算沿用既有設定：乳清蛋白粉 40g 約蛋白質 30g、碳水 4g、160 kcal；豆漿約蛋白質 13g、碳水 13g、144 kcal；地瓜約蛋白質 2g、碳水 35g、125 kcal。</t>
        </is>
      </c>
      <c r="H116" s="45" t="n">
        <v>52</v>
      </c>
    </row>
    <row r="117">
      <c r="A117" s="441" t="n">
        <v>46246</v>
      </c>
      <c r="B117" s="42" t="inlineStr">
        <is>
          <t>午餐</t>
        </is>
      </c>
      <c r="C117" s="36" t="inlineStr">
        <is>
          <t>使用者回報</t>
        </is>
      </c>
      <c r="D117" s="45" t="inlineStr">
        <is>
          <t>黑咖啡 1 杯</t>
        </is>
      </c>
      <c r="E117" s="45" t="n">
        <v>0</v>
      </c>
      <c r="F117" s="45" t="n">
        <v>0</v>
      </c>
      <c r="G117" s="45" t="inlineStr">
        <is>
          <t>按無糖、無奶黑咖啡記錄；熱量視為可忽略。</t>
        </is>
      </c>
      <c r="H117" s="45" t="n">
        <v>0</v>
      </c>
    </row>
    <row r="118">
      <c r="A118" s="441" t="n">
        <v>46246</v>
      </c>
      <c r="B118" s="42" t="inlineStr">
        <is>
          <t>晚餐</t>
        </is>
      </c>
      <c r="C118" s="36" t="inlineStr">
        <is>
          <t>公開資料估算（FatSecret；商品版本可能不同）</t>
        </is>
      </c>
      <c r="D118" s="45" t="inlineStr">
        <is>
          <t>全家 健身G肉餐盒</t>
        </is>
      </c>
      <c r="E118" s="45" t="n">
        <v>29</v>
      </c>
      <c r="F118" s="45" t="n">
        <v>500</v>
      </c>
      <c r="G118" s="45" t="inlineStr">
        <is>
          <t>採公開完整營養資料：每份約蛋白質 29 g、碳水 67.7 g、500 kcal。另有近期商品分享標示 385 g／481 kcal，推測版本或配方不同，因此本筆為透明估算。</t>
        </is>
      </c>
      <c r="H118" s="45" t="n">
        <v>67.7</v>
      </c>
    </row>
    <row r="119">
      <c r="A119" s="441" t="n">
        <v>46246</v>
      </c>
      <c r="B119" s="42" t="inlineStr">
        <is>
          <t>晚餐</t>
        </is>
      </c>
      <c r="C119" s="36" t="inlineStr">
        <is>
          <t>估算</t>
        </is>
      </c>
      <c r="D119" s="45" t="inlineStr">
        <is>
          <t>乳清蛋白粉 40g</t>
        </is>
      </c>
      <c r="E119" s="45" t="n">
        <v>32</v>
      </c>
      <c r="F119" s="45" t="n">
        <v>160</v>
      </c>
      <c r="G119" s="45" t="inlineStr">
        <is>
          <t>未提供品牌與營養標示；以一般乳清蛋白粉約每 40 g 含蛋白質 32 g、碳水 4 g、160 kcal 估算。</t>
        </is>
      </c>
      <c r="H119" s="45" t="n">
        <v>4</v>
      </c>
    </row>
    <row r="120">
      <c r="A120" s="441" t="n">
        <v>46246</v>
      </c>
      <c r="B120" s="42" t="inlineStr">
        <is>
          <t>晚餐</t>
        </is>
      </c>
      <c r="C120" s="36" t="inlineStr">
        <is>
          <t>使用者回報</t>
        </is>
      </c>
      <c r="D120" s="45" t="inlineStr">
        <is>
          <t>豆漿</t>
        </is>
      </c>
      <c r="E120" s="45" t="inlineStr"/>
      <c r="F120" s="45" t="inlineStr"/>
      <c r="G120" s="45" t="inlineStr">
        <is>
          <t>品牌、容量與營養標示未提供；依規則不猜份量，蛋白質、碳水與熱量暫留空白待補。</t>
        </is>
      </c>
      <c r="H120" s="45" t="inlineStr"/>
    </row>
    <row r="121">
      <c r="A121" s="441" t="n">
        <v>46247</v>
      </c>
      <c r="B121" s="42" t="inlineStr">
        <is>
          <t>早餐</t>
        </is>
      </c>
      <c r="C121" s="36" t="inlineStr">
        <is>
          <t>使用者回報</t>
        </is>
      </c>
      <c r="D121" s="45" t="inlineStr">
        <is>
          <t>豆漿 + 乳清蛋白粉 40g + 雞胸肉 + 地瓜</t>
        </is>
      </c>
      <c r="E121" s="45" t="n">
        <v>75</v>
      </c>
      <c r="F121" s="45" t="n">
        <v>589</v>
      </c>
      <c r="G121" s="45" t="inlineStr">
        <is>
          <t>估算沿用既有設定：豆漿約蛋白質 13g、碳水 13g、144 kcal；乳清蛋白粉 40g 約蛋白質 30g、碳水 4g、160 kcal；雞胸肉依使用者回報蛋白質 30g，沿用既有份量估算約 160 kcal；地瓜約蛋白質 2g、碳水 35g、125 kcal。</t>
        </is>
      </c>
      <c r="H121" s="45" t="n">
        <v>52</v>
      </c>
    </row>
    <row r="122">
      <c r="A122" s="441" t="n">
        <v>46247</v>
      </c>
      <c r="B122" s="42" t="inlineStr">
        <is>
          <t>晚餐</t>
        </is>
      </c>
      <c r="C122" s="36" t="inlineStr">
        <is>
          <t>使用者回報</t>
        </is>
      </c>
      <c r="D122" s="45" t="inlineStr">
        <is>
          <t>牛腩咖哩 + 雞腿肉 1 份 + 番茄 + 豆漿 + 乳清蛋白粉 40g</t>
        </is>
      </c>
      <c r="E122" s="45" t="n">
        <v>114</v>
      </c>
      <c r="F122" s="45" t="n">
        <v>1549</v>
      </c>
      <c r="G122" s="45" t="inlineStr">
        <is>
          <t>修正估算：使用者補充白飯份量可能接近兩份且份量偏多。原估算上額外加約 1 碗白飯（蛋白質約 5g、碳水約 60g、280 kcal）。其餘牛腩咖哩、雞腿肉、番茄、豆漿與乳清沿用先前估算。</t>
        </is>
      </c>
      <c r="H122" s="45" t="n">
        <v>157</v>
      </c>
    </row>
    <row r="123">
      <c r="A123" s="441" t="n">
        <v>46247</v>
      </c>
      <c r="B123" s="42" t="inlineStr">
        <is>
          <t>午餐</t>
        </is>
      </c>
      <c r="C123" s="36" t="inlineStr">
        <is>
          <t>使用者回報</t>
        </is>
      </c>
      <c r="D123" s="45" t="inlineStr">
        <is>
          <t>未進食</t>
        </is>
      </c>
      <c r="E123" s="45" t="inlineStr"/>
      <c r="F123" s="45" t="inlineStr"/>
      <c r="G123" s="45" t="inlineStr">
        <is>
          <t>使用者明確回報午餐未進食。</t>
        </is>
      </c>
      <c r="H123" s="45" t="inlineStr"/>
    </row>
    <row r="124">
      <c r="A124" s="441" t="n">
        <v>46248</v>
      </c>
      <c r="B124" s="42" t="inlineStr">
        <is>
          <t>早餐</t>
        </is>
      </c>
      <c r="C124" s="36" t="inlineStr">
        <is>
          <t>使用者回報</t>
        </is>
      </c>
      <c r="D124" s="45" t="inlineStr">
        <is>
          <t>雞胸肉 + 乳清蛋白粉 40g + 豆漿 + 地瓜</t>
        </is>
      </c>
      <c r="E124" s="45" t="n">
        <v>75</v>
      </c>
      <c r="F124" s="45" t="n">
        <v>589</v>
      </c>
      <c r="G124" s="45" t="inlineStr">
        <is>
          <t>估算沿用既有設定：雞胸肉依使用者回報蛋白質 30g，約 160 kcal；乳清蛋白粉 40g 約蛋白質 30g、碳水 4g、160 kcal；豆漿約蛋白質 13g、碳水 13g、144 kcal；地瓜約蛋白質 2g、碳水 35g、125 kcal。</t>
        </is>
      </c>
      <c r="H124" s="45" t="n">
        <v>52</v>
      </c>
    </row>
    <row r="125">
      <c r="A125" s="441" t="n">
        <v>46248</v>
      </c>
      <c r="B125" s="42" t="inlineStr">
        <is>
          <t>運動前</t>
        </is>
      </c>
      <c r="C125" s="36" t="inlineStr">
        <is>
          <t>使用者回報</t>
        </is>
      </c>
      <c r="D125" s="45" t="inlineStr">
        <is>
          <t>乳清蛋白粉 40g + 豆漿 1 杯</t>
        </is>
      </c>
      <c r="E125" s="45" t="n">
        <v>43</v>
      </c>
      <c r="F125" s="45" t="n">
        <v>304</v>
      </c>
      <c r="G125" s="45" t="inlineStr">
        <is>
          <t>估算沿用既有設定：乳清蛋白粉 40g 約蛋白質 30g、碳水 4g、160 kcal；豆漿約蛋白質 13g、碳水 13g、144 kcal。</t>
        </is>
      </c>
      <c r="H125" s="45" t="n">
        <v>17</v>
      </c>
    </row>
    <row r="126">
      <c r="A126" s="441" t="n">
        <v>46248</v>
      </c>
      <c r="B126" s="42" t="inlineStr">
        <is>
          <t>晚餐</t>
        </is>
      </c>
      <c r="C126" s="36" t="inlineStr">
        <is>
          <t>一般烤肉份量估算</t>
        </is>
      </c>
      <c r="D126" s="45" t="inlineStr">
        <is>
          <t>烤肉：旗魚黑輪 1 串 + 雞腿肉 3 串 + 雞胗 1 串 + 豆皮 1 份 + 牛肉串 2 串</t>
        </is>
      </c>
      <c r="E126" s="45" t="n">
        <v>80</v>
      </c>
      <c r="F126" s="45" t="n">
        <v>820</v>
      </c>
      <c r="G126" s="45" t="inlineStr">
        <is>
          <t>估算僅依使用者提供的品項與串數，不另計未提及的白飯、飲料或額外配菜。以一般夜市／烤肉攤常見單串份量估算：約旗魚黑輪 120 kcal、蛋白質 6 g、碳水 12 g；雞腿肉 3 串合計 270 kcal、蛋白質 30 g、碳水 6 g；雞胗 1 串 60 kcal、蛋白質 10 g；豆皮 1 份 150 kcal、蛋白質 10 g、碳水 8 g；牛肉串 2 串合計 220 kcal、蛋白質 24 g、碳水 4 g。總計約蛋白質 80 g、碳水 30 g、820 kcal。實際串重、油脂與醬料會造成誤差。</t>
        </is>
      </c>
      <c r="H126" s="45" t="n">
        <v>30</v>
      </c>
    </row>
    <row r="127">
      <c r="A127" s="441" t="n">
        <v>46248</v>
      </c>
      <c r="B127" s="42" t="inlineStr">
        <is>
          <t>晚餐</t>
        </is>
      </c>
      <c r="C127" s="36" t="inlineStr">
        <is>
          <t>估算</t>
        </is>
      </c>
      <c r="D127" s="45" t="inlineStr">
        <is>
          <t>乳清蛋白粉 40g</t>
        </is>
      </c>
      <c r="E127" s="45" t="n">
        <v>32</v>
      </c>
      <c r="F127" s="45" t="n">
        <v>160</v>
      </c>
      <c r="G127" s="45" t="inlineStr">
        <is>
          <t>未提供品牌與營養標示；以一般乳清蛋白粉每 40 g 約蛋白質 32 g、碳水 4 g、160 kcal 估算。</t>
        </is>
      </c>
      <c r="H127" s="45" t="n">
        <v>4</v>
      </c>
    </row>
    <row r="128">
      <c r="A128" s="441" t="n">
        <v>46248</v>
      </c>
      <c r="B128" s="42" t="inlineStr">
        <is>
          <t>晚餐</t>
        </is>
      </c>
      <c r="C128" s="36" t="inlineStr">
        <is>
          <t>使用者回報</t>
        </is>
      </c>
      <c r="D128" s="45" t="inlineStr">
        <is>
          <t>豆漿</t>
        </is>
      </c>
      <c r="E128" s="45" t="inlineStr"/>
      <c r="F128" s="45" t="inlineStr"/>
      <c r="G128" s="45" t="inlineStr">
        <is>
          <t>品牌、容量與營養標示未提供；依規則不猜份量，蛋白質、碳水與熱量暫留空白待補。</t>
        </is>
      </c>
      <c r="H128" s="45" t="inlineStr"/>
    </row>
    <row r="129">
      <c r="A129" s="441" t="n">
        <v>46248</v>
      </c>
      <c r="B129" s="42" t="inlineStr">
        <is>
          <t>午餐</t>
        </is>
      </c>
      <c r="C129" s="36" t="inlineStr">
        <is>
          <t>使用者回報</t>
        </is>
      </c>
      <c r="D129" s="45" t="inlineStr">
        <is>
          <t>未進食</t>
        </is>
      </c>
      <c r="E129" s="45" t="inlineStr"/>
      <c r="F129" s="45" t="inlineStr"/>
      <c r="G129" s="45" t="inlineStr">
        <is>
          <t>使用者以『其他都沒有』回覆當晚剩餘缺漏，依上下文記為午餐未進食。</t>
        </is>
      </c>
      <c r="H129" s="45" t="inlineStr"/>
    </row>
    <row r="130">
      <c r="A130" s="441" t="n">
        <v>46249</v>
      </c>
      <c r="B130" s="42" t="inlineStr">
        <is>
          <t>早餐</t>
        </is>
      </c>
      <c r="C130" s="36" t="inlineStr">
        <is>
          <t>使用者回報</t>
        </is>
      </c>
      <c r="D130" s="45" t="inlineStr">
        <is>
          <t>乳清蛋白粉 40g + 豆漿半杯</t>
        </is>
      </c>
      <c r="E130" s="45" t="n">
        <v>36.5</v>
      </c>
      <c r="F130" s="45" t="n">
        <v>232</v>
      </c>
      <c r="G130" s="45" t="inlineStr">
        <is>
          <t>估算沿用既有設定：乳清蛋白粉 40g 約蛋白質 30g、碳水 4g、160 kcal；豆漿半杯按既有一杯設定的一半估算，約蛋白質 6.5g、碳水 6.5g、72 kcal。</t>
        </is>
      </c>
      <c r="H130" s="45" t="n">
        <v>10.5</v>
      </c>
    </row>
    <row r="131">
      <c r="A131" s="441" t="n">
        <v>46249</v>
      </c>
      <c r="B131" s="42" t="inlineStr">
        <is>
          <t>午餐</t>
        </is>
      </c>
      <c r="C131" s="36" t="inlineStr">
        <is>
          <t>一般份量估算</t>
        </is>
      </c>
      <c r="D131" s="45" t="inlineStr">
        <is>
          <t>雞腿肉套餐 + 花椰菜 1 份</t>
        </is>
      </c>
      <c r="E131" s="45" t="n">
        <v>45</v>
      </c>
      <c r="F131" s="45" t="n">
        <v>720</v>
      </c>
      <c r="G131" s="45" t="inlineStr">
        <is>
          <t>估算：未提供店家、雞腿肉重量、主食份量與套餐配菜細節；先以一般雞腿肉套餐加一份花椰菜估算約蛋白質 45 g、碳水 70 g、720 kcal。不另計未提及飲料與額外醬料。</t>
        </is>
      </c>
      <c r="H131" s="45" t="n">
        <v>70</v>
      </c>
    </row>
    <row r="132">
      <c r="A132" s="441" t="n">
        <v>46249</v>
      </c>
      <c r="B132" s="42" t="inlineStr">
        <is>
          <t>晚餐</t>
        </is>
      </c>
      <c r="C132" s="36" t="inlineStr">
        <is>
          <t>沿用既有估算設定</t>
        </is>
      </c>
      <c r="D132" s="45" t="inlineStr">
        <is>
          <t>乳清蛋白粉 60g + 豆漿 1 杯</t>
        </is>
      </c>
      <c r="E132" s="45" t="n">
        <v>58</v>
      </c>
      <c r="F132" s="45" t="n">
        <v>384</v>
      </c>
      <c r="G132" s="45" t="inlineStr">
        <is>
          <t>沿用既有 60 g 乳清 + 1 杯豆漿估算設定：約蛋白質 58 g、碳水 19 g、384 kcal；本次未提供品牌與容量。</t>
        </is>
      </c>
      <c r="H132" s="45" t="n">
        <v>19</v>
      </c>
    </row>
    <row r="133">
      <c r="A133" s="441" t="n">
        <v>46250</v>
      </c>
      <c r="B133" s="42" t="inlineStr">
        <is>
          <t>早餐</t>
        </is>
      </c>
      <c r="C133" s="36" t="inlineStr">
        <is>
          <t>使用者回報</t>
        </is>
      </c>
      <c r="D133" s="45" t="inlineStr">
        <is>
          <t>豆漿 1 杯 + 乳清蛋白粉 40g + 地瓜</t>
        </is>
      </c>
      <c r="E133" s="45" t="n">
        <v>45</v>
      </c>
      <c r="F133" s="45" t="n">
        <v>429</v>
      </c>
      <c r="G133" s="45" t="inlineStr">
        <is>
          <t>估算沿用既有設定：豆漿約蛋白質 13g、碳水 13g、144 kcal；乳清蛋白粉 40g 約蛋白質 30g、碳水 4g、160 kcal；地瓜約蛋白質 2g、碳水 35g、125 kcal。</t>
        </is>
      </c>
      <c r="H133" s="45" t="n">
        <v>52</v>
      </c>
    </row>
    <row r="134">
      <c r="A134" s="441" t="n">
        <v>46250</v>
      </c>
      <c r="B134" s="42" t="inlineStr">
        <is>
          <t>晚餐</t>
        </is>
      </c>
      <c r="C134" s="36" t="inlineStr">
        <is>
          <t>使用者回報</t>
        </is>
      </c>
      <c r="D134" s="45" t="inlineStr">
        <is>
          <t>三元酒樓：烤鴨 + 佛跳牆 + 脆皮雞</t>
        </is>
      </c>
      <c r="E134" s="45" t="n">
        <v>90</v>
      </c>
      <c r="F134" s="45" t="n">
        <v>1400</v>
      </c>
      <c r="G134" s="45" t="inlineStr">
        <is>
          <t>未提供各道實際食用份量，按一般中式聚餐個人食用量做透明估算：約蛋白質 90g、碳水 45g、1400 kcal。烤鴨與脆皮雞的皮脂、佛跳牆配料與湯汁會使熱量誤差較大，實際可上下浮動約 300–500 kcal；若補充吃了幾塊鴨、雞、是否有餅皮或飯，可再修正。</t>
        </is>
      </c>
      <c r="H134" s="45" t="n">
        <v>45</v>
      </c>
    </row>
    <row r="135">
      <c r="A135" s="441" t="n">
        <v>46250</v>
      </c>
      <c r="B135" s="42" t="inlineStr">
        <is>
          <t>午餐</t>
        </is>
      </c>
      <c r="C135" s="36" t="inlineStr">
        <is>
          <t>使用者回報</t>
        </is>
      </c>
      <c r="D135" s="45" t="inlineStr">
        <is>
          <t>未進食</t>
        </is>
      </c>
      <c r="E135" s="45" t="inlineStr"/>
      <c r="F135" s="45" t="inlineStr"/>
      <c r="G135" s="45" t="inlineStr">
        <is>
          <t>使用者回覆其他沒有，依當晚剩餘缺漏記為午餐未進食。</t>
        </is>
      </c>
      <c r="H135" s="45" t="inlineStr"/>
    </row>
    <row r="136">
      <c r="A136" s="441" t="n">
        <v>46251</v>
      </c>
      <c r="B136" s="42" t="inlineStr">
        <is>
          <t>早餐</t>
        </is>
      </c>
      <c r="C136" s="36" t="inlineStr">
        <is>
          <t>使用者回報＋乳清一般估算</t>
        </is>
      </c>
      <c r="D136" s="45" t="inlineStr">
        <is>
          <t>地瓜 + 乳清蛋白粉 40g + 豆漿 1 杯</t>
        </is>
      </c>
      <c r="E136" s="45" t="n">
        <v>32</v>
      </c>
      <c r="F136" s="45" t="n">
        <v>160</v>
      </c>
      <c r="G136" s="45" t="inlineStr">
        <is>
          <t>乳清 40g 先以一般估算約蛋白質 32g、碳水 4g、160 kcal；地瓜重量與豆漿品牌／容量未提供，因此不猜其營養數值，早餐實際總量高於本列已填數值。</t>
        </is>
      </c>
      <c r="H136" s="45" t="n">
        <v>4</v>
      </c>
    </row>
    <row r="137">
      <c r="A137" s="441" t="n">
        <v>46251</v>
      </c>
      <c r="B137" s="42" t="inlineStr">
        <is>
          <t>午餐</t>
        </is>
      </c>
      <c r="C137" s="36" t="inlineStr">
        <is>
          <t>使用者回報＋乳清一般估算</t>
        </is>
      </c>
      <c r="D137" s="45" t="inlineStr">
        <is>
          <t>乳清蛋白粉 40g + 豆漿 1 杯</t>
        </is>
      </c>
      <c r="E137" s="45" t="n">
        <v>32</v>
      </c>
      <c r="F137" s="45" t="n">
        <v>160</v>
      </c>
      <c r="G137" s="45" t="inlineStr">
        <is>
          <t>乳清 40g 先以一般估算約蛋白質 32g、碳水 4g、160 kcal；豆漿品牌／容量未提供，因此不猜其營養數值，午餐實際總量高於本列已填數值。</t>
        </is>
      </c>
      <c r="H137" s="45" t="n">
        <v>4</v>
      </c>
    </row>
    <row r="138">
      <c r="A138" s="441" t="n">
        <v>46251</v>
      </c>
      <c r="B138" s="42" t="inlineStr">
        <is>
          <t>晚餐</t>
        </is>
      </c>
      <c r="C138" s="36" t="inlineStr">
        <is>
          <t>使用者回報</t>
        </is>
      </c>
      <c r="D138" s="45" t="inlineStr">
        <is>
          <t>三顧茅廬：豬肉片、牛肉片、高麗菜、凍豆腐、大豆干、蛋、冬粉、三角油豆腐、經典乾拌麵(F)</t>
        </is>
      </c>
      <c r="E138" s="45" t="inlineStr"/>
      <c r="F138" s="45" t="inlineStr"/>
      <c r="G138" s="45" t="inlineStr">
        <is>
          <t>各配料與麵體實際重量／份量未提供；依規則不猜份量，因此蛋白質、碳水與熱量暫留空白。</t>
        </is>
      </c>
      <c r="H138" s="45" t="inlineStr"/>
    </row>
    <row r="139">
      <c r="A139" s="441" t="n">
        <v>46252</v>
      </c>
      <c r="B139" s="42" t="inlineStr">
        <is>
          <t>早餐</t>
        </is>
      </c>
      <c r="C139" s="36" t="inlineStr">
        <is>
          <t>使用者回報</t>
        </is>
      </c>
      <c r="D139" s="45" t="inlineStr">
        <is>
          <t>乳清蛋白粉 40g + 豆漿 1 杯 + 地瓜</t>
        </is>
      </c>
      <c r="E139" s="45" t="n">
        <v>45</v>
      </c>
      <c r="F139" s="45" t="n">
        <v>429</v>
      </c>
      <c r="G139" s="45" t="inlineStr">
        <is>
          <t>估算沿用既有設定：乳清蛋白粉 40g 約蛋白質 30g、碳水 4g、160 kcal；豆漿約蛋白質 13g、碳水 13g、144 kcal；地瓜約蛋白質 2g、碳水 35g、125 kcal。</t>
        </is>
      </c>
      <c r="H139" s="45" t="n">
        <v>52</v>
      </c>
    </row>
    <row r="140">
      <c r="A140" s="441" t="n">
        <v>46252</v>
      </c>
      <c r="B140" s="42" t="inlineStr">
        <is>
          <t>午餐</t>
        </is>
      </c>
      <c r="C140" s="36" t="inlineStr">
        <is>
          <t>使用者回報；公開菜單確認套餐含主餐、小菜與味噌豆腐湯</t>
        </is>
      </c>
      <c r="D140" s="45" t="inlineStr">
        <is>
          <t>三商鮮五丼 麻婆魚排套餐</t>
        </is>
      </c>
      <c r="E140" s="45" t="n">
        <v>30</v>
      </c>
      <c r="F140" s="45" t="n">
        <v>850</v>
      </c>
      <c r="G140" s="45" t="inlineStr">
        <is>
          <t>透明估算：約蛋白質 30g、碳水 105g、850 kcal。公開菜單顯示麻婆魚排為麻婆醬搭配厚切魚排，套餐另含小菜與味噌豆腐湯；店家未提供完整營養標示，實際熱量會受飯量、炸魚排吸油與麻婆醬份量影響，估計誤差約 ±150–200 kcal。</t>
        </is>
      </c>
      <c r="H140" s="45" t="n">
        <v>105</v>
      </c>
    </row>
    <row r="141">
      <c r="A141" s="441" t="n">
        <v>46252</v>
      </c>
      <c r="B141" s="42" t="inlineStr">
        <is>
          <t>晚餐</t>
        </is>
      </c>
      <c r="C141" s="36" t="inlineStr">
        <is>
          <t>使用者回報＋既有乳清/豆漿設定＋公開營養標示</t>
        </is>
      </c>
      <c r="D141" s="45" t="inlineStr">
        <is>
          <t>乳清蛋白粉 60g + 豆漿 1 瓶 + 全家 芝麻香鬆飯糰</t>
        </is>
      </c>
      <c r="E141" s="45" t="n">
        <v>63.6</v>
      </c>
      <c r="F141" s="45" t="n">
        <v>613</v>
      </c>
      <c r="G141" s="45" t="inlineStr">
        <is>
          <t>估算沿用既有設定：乳清蛋白粉 60g 約蛋白質 45g、碳水 6g、240 kcal；豆漿 1 瓶先沿用既有一份設定約蛋白質 13g、碳水 13g、144 kcal。全家芝麻香鬆飯糰公開營養標示每份 104g：蛋白質 5.6g、碳水 38.1g、229 kcal。合計約蛋白質 63.6g、碳水 57.1g、613 kcal；若本次豆漿品牌/容量與既有設定不同，可再修正。</t>
        </is>
      </c>
      <c r="H141" s="45" t="n">
        <v>57.1</v>
      </c>
    </row>
    <row r="142">
      <c r="A142" s="441" t="n">
        <v>46253</v>
      </c>
      <c r="B142" s="42" t="inlineStr">
        <is>
          <t>早餐</t>
        </is>
      </c>
      <c r="C142" s="36" t="inlineStr">
        <is>
          <t>使用者回報</t>
        </is>
      </c>
      <c r="D142" s="45" t="inlineStr">
        <is>
          <t>雞胸肉 1 份 + 地瓜 1 份 + 豆漿 1 杯 + 乳清蛋白粉 40g</t>
        </is>
      </c>
      <c r="E142" s="45" t="n">
        <v>75</v>
      </c>
      <c r="F142" s="45" t="n">
        <v>589</v>
      </c>
      <c r="G142" s="45" t="inlineStr">
        <is>
          <t>估算沿用既有設定：雞胸肉 1 份約蛋白質 30g、160 kcal；地瓜 1 份約蛋白質 2g、碳水 35g、125 kcal；豆漿 1 杯約蛋白質 13g、碳水 13g、144 kcal；乳清蛋白粉 40g 約蛋白質 30g、碳水 4g、160 kcal。</t>
        </is>
      </c>
      <c r="H142" s="45" t="n">
        <v>52</v>
      </c>
    </row>
    <row r="143">
      <c r="A143" s="441" t="n">
        <v>46253</v>
      </c>
      <c r="B143" s="42" t="inlineStr">
        <is>
          <t>午餐</t>
        </is>
      </c>
      <c r="C143" s="36" t="inlineStr">
        <is>
          <t>使用者回報</t>
        </is>
      </c>
      <c r="D143" s="45" t="inlineStr">
        <is>
          <t>豆漿 1 杯</t>
        </is>
      </c>
      <c r="E143" s="45" t="n">
        <v>13</v>
      </c>
      <c r="F143" s="45" t="n">
        <v>144</v>
      </c>
      <c r="G143" s="45" t="inlineStr">
        <is>
          <t>估算沿用既有設定：豆漿 1 杯約蛋白質 13g、碳水 13g、144 kcal。</t>
        </is>
      </c>
      <c r="H143" s="45" t="n">
        <v>13</v>
      </c>
    </row>
    <row r="144">
      <c r="A144" s="441" t="n">
        <v>46253</v>
      </c>
      <c r="B144" s="42" t="inlineStr">
        <is>
          <t>晚餐</t>
        </is>
      </c>
      <c r="C144" s="36" t="inlineStr">
        <is>
          <t>使用者回報</t>
        </is>
      </c>
      <c r="D144" s="45" t="inlineStr">
        <is>
          <t>韭菜水餃 10 顆</t>
        </is>
      </c>
      <c r="E144" s="45" t="n">
        <v>16</v>
      </c>
      <c r="F144" s="45" t="n">
        <v>520</v>
      </c>
      <c r="G144" s="45" t="inlineStr">
        <is>
          <t>修正估算：先前蛋白質 22g 偏高。參考台灣韭菜水餃公開營養標示，多數約每 100g 蛋白質 8–9g；在未提供品牌與單顆重量下，10 顆一般大小先改估蛋白質約 16g。熱量與碳水暫維持原估算，若補充品牌/單顆重量可再精修。</t>
        </is>
      </c>
      <c r="H144" s="45" t="n">
        <v>65</v>
      </c>
    </row>
    <row r="145">
      <c r="A145" s="441" t="n">
        <v>46253</v>
      </c>
      <c r="B145" s="42" t="inlineStr">
        <is>
          <t>晚餐</t>
        </is>
      </c>
      <c r="C145" s="36" t="inlineStr">
        <is>
          <t>使用者回報＋一般中型香蕉估算</t>
        </is>
      </c>
      <c r="D145" s="45" t="inlineStr">
        <is>
          <t>香蕉 1 根</t>
        </is>
      </c>
      <c r="E145" s="45" t="n">
        <v>1.3</v>
      </c>
      <c r="F145" s="45" t="n">
        <v>105</v>
      </c>
      <c r="G145" s="45" t="inlineStr">
        <is>
          <t>未提供香蕉重量，先以一般中型香蕉透明估算：約蛋白質 1.3g、碳水 27g、105 kcal；實際依大小會有差異。</t>
        </is>
      </c>
      <c r="H145" s="45" t="n">
        <v>27</v>
      </c>
    </row>
    <row r="146">
      <c r="A146" s="441" t="n">
        <v>46253</v>
      </c>
      <c r="B146" s="42" t="inlineStr">
        <is>
          <t>晚餐</t>
        </is>
      </c>
      <c r="C146" s="36" t="inlineStr">
        <is>
          <t>使用者回報＋沿用既有估算設定</t>
        </is>
      </c>
      <c r="D146" s="45" t="inlineStr">
        <is>
          <t>豆漿 1 杯 + 乳清蛋白粉 40g</t>
        </is>
      </c>
      <c r="E146" s="45" t="n">
        <v>43</v>
      </c>
      <c r="F146" s="45" t="n">
        <v>304</v>
      </c>
      <c r="G146" s="45" t="inlineStr">
        <is>
          <t>沿用既有設定：乳清蛋白粉 40g 約蛋白質 30g、碳水 4g、160 kcal；豆漿 1 杯約蛋白質 13g、碳水 13g、144 kcal。作為同日晚餐追加紀錄，不覆蓋既有水餃與香蕉。</t>
        </is>
      </c>
      <c r="H146" s="45" t="n">
        <v>17</v>
      </c>
    </row>
    <row r="147">
      <c r="A147" s="441" t="n">
        <v>46254</v>
      </c>
      <c r="B147" s="42" t="inlineStr">
        <is>
          <t>晚餐</t>
        </is>
      </c>
      <c r="C147" s="36" t="inlineStr">
        <is>
          <t>使用者回報</t>
        </is>
      </c>
      <c r="D147" s="45" t="inlineStr">
        <is>
          <t>厚野雞排：炸雞排 + 炸魷魚 + 香蕉 1 根 + 乳清蛋白粉 40g + 豆漿 1 杯</t>
        </is>
      </c>
      <c r="E147" s="45" t="n">
        <v>99</v>
      </c>
      <c r="F147" s="45" t="n">
        <v>1289</v>
      </c>
      <c r="G147" s="45" t="inlineStr">
        <is>
          <t>透明估算：炸雞排與炸魷魚未提供實際重量，先沿用一般台式炸物份量估算，兩者合計約蛋白質 54g、碳水 70g、880 kcal；香蕉 1 根約蛋白質 2g、碳水 27g、105 kcal；乳清蛋白粉 40g + 豆漿 1 杯沿用既有設定約蛋白質 43g、碳水 17g、304 kcal。炸物實際熱量受大小、裹粉與吸油量影響大，整餐估算誤差可達約 ±200–300 kcal。</t>
        </is>
      </c>
      <c r="H147" s="45" t="n">
        <v>114</v>
      </c>
    </row>
    <row r="148">
      <c r="A148" s="441" t="n">
        <v>46254</v>
      </c>
      <c r="B148" s="42" t="inlineStr">
        <is>
          <t>早餐</t>
        </is>
      </c>
      <c r="C148" s="36" t="inlineStr">
        <is>
          <t>使用者回報＋沿用既有估算設定</t>
        </is>
      </c>
      <c r="D148" s="45" t="inlineStr">
        <is>
          <t>地瓜 + 雞胸肉 + 豆漿 1 杯 + 乳清蛋白粉 40g</t>
        </is>
      </c>
      <c r="E148" s="45" t="n">
        <v>75</v>
      </c>
      <c r="F148" s="45" t="n">
        <v>589</v>
      </c>
      <c r="G148" s="45" t="inlineStr">
        <is>
          <t>沿用既有相同組合設定：雞胸肉約蛋白質 30g、160 kcal；乳清蛋白粉 40g 約蛋白質 30g、碳水 4g、160 kcal；豆漿 1 杯約蛋白質 13g、碳水 13g、144 kcal；地瓜約蛋白質 2g、碳水 35g、125 kcal。</t>
        </is>
      </c>
      <c r="H148" s="45" t="n">
        <v>52</v>
      </c>
    </row>
    <row r="149">
      <c r="A149" s="441" t="n">
        <v>46254</v>
      </c>
      <c r="B149" s="42" t="inlineStr">
        <is>
          <t>午餐</t>
        </is>
      </c>
      <c r="C149" s="36" t="inlineStr">
        <is>
          <t>使用者回報</t>
        </is>
      </c>
      <c r="D149" s="45" t="inlineStr">
        <is>
          <t>未進食</t>
        </is>
      </c>
      <c r="E149" s="45" t="inlineStr"/>
      <c r="F149" s="45" t="inlineStr"/>
      <c r="G149" s="45" t="inlineStr">
        <is>
          <t>使用者回覆其他都沒有，依當晚剩餘缺漏記為午餐未進食。</t>
        </is>
      </c>
      <c r="H149" s="45" t="inlineStr"/>
    </row>
    <row r="150">
      <c r="A150" s="441" t="n">
        <v>46255</v>
      </c>
      <c r="B150" s="42" t="inlineStr">
        <is>
          <t>早餐</t>
        </is>
      </c>
      <c r="C150" s="36" t="inlineStr">
        <is>
          <t>使用者回報</t>
        </is>
      </c>
      <c r="D150" s="45" t="inlineStr">
        <is>
          <t>地瓜 1 份 + 雞胸肉 1 份</t>
        </is>
      </c>
      <c r="E150" s="45" t="n">
        <v>32</v>
      </c>
      <c r="F150" s="45" t="n">
        <v>285</v>
      </c>
      <c r="G150" s="45" t="inlineStr">
        <is>
          <t>估算沿用既有設定：地瓜 1 份約蛋白質 2g、碳水 35g、125 kcal；雞胸肉 1 份約蛋白質 30g、160 kcal。</t>
        </is>
      </c>
      <c r="H150" s="45" t="n">
        <v>35</v>
      </c>
    </row>
    <row r="151">
      <c r="A151" s="441" t="n">
        <v>46255</v>
      </c>
      <c r="B151" s="42" t="inlineStr">
        <is>
          <t>午餐</t>
        </is>
      </c>
      <c r="C151" s="36" t="inlineStr">
        <is>
          <t>使用者回報</t>
        </is>
      </c>
      <c r="D151" s="45" t="inlineStr">
        <is>
          <t>蚵仔滷肉飯 1 碗</t>
        </is>
      </c>
      <c r="E151" s="45" t="n">
        <v>22</v>
      </c>
      <c r="F151" s="45" t="n">
        <v>680</v>
      </c>
      <c r="G151" s="45" t="inlineStr">
        <is>
          <t>透明估算：未提供店家與實際份量，先按一般一碗蚵仔滷肉飯估算約蛋白質 22g、碳水 85g、680 kcal。主要誤差來自白飯份量、滷肉肥瘦與醬汁；若補充照片或店家可再修正。</t>
        </is>
      </c>
      <c r="H151" s="45" t="n">
        <v>85</v>
      </c>
    </row>
    <row r="152">
      <c r="A152" s="441" t="n">
        <v>46255</v>
      </c>
      <c r="B152" s="42" t="inlineStr">
        <is>
          <t>午餐</t>
        </is>
      </c>
      <c r="C152" s="36" t="inlineStr">
        <is>
          <t>使用者回報</t>
        </is>
      </c>
      <c r="D152" s="45" t="inlineStr">
        <is>
          <t>香蕉 1 根</t>
        </is>
      </c>
      <c r="E152" s="45" t="n">
        <v>1.3</v>
      </c>
      <c r="F152" s="45" t="n">
        <v>105</v>
      </c>
      <c r="G152" s="45" t="inlineStr">
        <is>
          <t>估算：一般中型香蕉 1 根約蛋白質 1.3g、碳水 27g、105 kcal。</t>
        </is>
      </c>
      <c r="H152" s="45" t="n">
        <v>27</v>
      </c>
    </row>
    <row r="153">
      <c r="A153" s="441" t="n">
        <v>46255</v>
      </c>
      <c r="B153" s="42" t="inlineStr">
        <is>
          <t>晚餐</t>
        </is>
      </c>
      <c r="C153" s="36" t="inlineStr">
        <is>
          <t>使用者更正</t>
        </is>
      </c>
      <c r="D153" s="45" t="inlineStr">
        <is>
          <t>滷肉飯 1 碗 + 肝連 1 份 + 豬肝 1 份</t>
        </is>
      </c>
      <c r="E153" s="45" t="n">
        <v>58</v>
      </c>
      <c r="F153" s="45" t="n">
        <v>750</v>
      </c>
      <c r="G153" s="45" t="inlineStr">
        <is>
          <t>使用者更正：原先誤記為嘴邊肉，實際為豬肝。未提供實際份量，先按一般小吃店常見個人份量透明估算：滷肉飯 1 碗 + 肝連 1 份 + 豬肝 1 份，約蛋白質 58g、碳水 65g、750 kcal；實際飯量、滷肉肥瘦與肉類份量會造成明顯誤差。</t>
        </is>
      </c>
      <c r="H153" s="45" t="n">
        <v>65</v>
      </c>
    </row>
    <row r="154">
      <c r="A154" s="441" t="n">
        <v>46256</v>
      </c>
      <c r="B154" s="42" t="inlineStr">
        <is>
          <t>早餐</t>
        </is>
      </c>
      <c r="C154" s="36" t="inlineStr">
        <is>
          <t>使用者回報；7-ELEVEN 官方現售雙蔬鮪魚飯糰熱量與公開營養標示</t>
        </is>
      </c>
      <c r="D154" s="45" t="inlineStr">
        <is>
          <t>乳清蛋白粉 40g + 地瓜 1 份 + 7-ELEVEN 鮮蔬鮪魚御飯糰 1 個</t>
        </is>
      </c>
      <c r="E154" s="45" t="n">
        <v>37</v>
      </c>
      <c r="F154" s="45" t="n">
        <v>506</v>
      </c>
      <c r="G154" s="45" t="inlineStr">
        <is>
          <t>乳清 40g 沿用既有設定：約蛋白質 30g、碳水 4g、160 kcal；地瓜 1 份沿用既有設定：約蛋白質 2g、碳水 35g、125 kcal。使用者稱『711鮮蔬鮪魚御飯糰』，按目前 7-ELEVEN 官網對應的雙蔬鮪魚飯糰記錄：官方熱量 221 kcal；公開營養標示約蛋白質 5g、碳水 38g。合計約蛋白質 37g、碳水 77g、506 kcal。</t>
        </is>
      </c>
      <c r="H154" s="45" t="n">
        <v>77</v>
      </c>
    </row>
    <row r="155">
      <c r="A155" s="441" t="n">
        <v>46256</v>
      </c>
      <c r="B155" s="42" t="inlineStr">
        <is>
          <t>晚餐</t>
        </is>
      </c>
      <c r="C155" s="36" t="inlineStr">
        <is>
          <t>使用者回報＋點餐畫面確認＋一般份量透明估算</t>
        </is>
      </c>
      <c r="D155" s="45" t="inlineStr">
        <is>
          <t>竹間火鍋：美國低脂牛肉 + 潮鯛魚片鍋套餐（柴魚昆布湯）+ 雞蛋 3 顆 + 蝦滑丸子 4 顆 + 高麗菜 1 份</t>
        </is>
      </c>
      <c r="E155" s="45" t="n">
        <v>80</v>
      </c>
      <c r="F155" s="45" t="n">
        <v>850</v>
      </c>
      <c r="G155" s="45" t="inlineStr">
        <is>
          <t>圖片可確認套餐為『美國低脂牛肉+潮鯛魚片鍋套餐』，湯底為柴魚昆布湯；使用者另回報雞蛋 3 顆、蝦滑丸子 4 顆、高麗菜 1 份。未提供牛肉、魚片、蝦滑與高麗菜實際重量，亦未提及飯、麵、醬料或其他配菜，因此不另計未提及品項。先依一般火鍋份量透明估算整餐約蛋白質 80g、碳水 25g、850 kcal，實際會受肉盤重量、蝦滑配方與湯汁攝取量影響。</t>
        </is>
      </c>
      <c r="H155" s="45" t="n">
        <v>25</v>
      </c>
    </row>
    <row r="156">
      <c r="A156" s="441" t="n">
        <v>46256</v>
      </c>
      <c r="B156" s="42" t="inlineStr">
        <is>
          <t>晚餐</t>
        </is>
      </c>
      <c r="C156" s="36" t="inlineStr">
        <is>
          <t>使用者回報＋一般火鍋份量估算</t>
        </is>
      </c>
      <c r="D156" s="45" t="inlineStr">
        <is>
          <t>金針菇 2 份 + 火鍋料大小芋頭 1 顆 + 小條天婦羅 2 條</t>
        </is>
      </c>
      <c r="E156" s="45" t="n">
        <v>7</v>
      </c>
      <c r="F156" s="45" t="n">
        <v>130</v>
      </c>
      <c r="G156" s="45" t="inlineStr">
        <is>
          <t>使用者未提供實際重量；以一般火鍋常見小份量透明估算。未辨識的綠色蔬菜依使用者指示不計入。</t>
        </is>
      </c>
      <c r="H156" s="45" t="n">
        <v>22</v>
      </c>
    </row>
    <row r="157">
      <c r="A157" s="441" t="n">
        <v>46256</v>
      </c>
      <c r="B157" s="42" t="inlineStr">
        <is>
          <t>午餐</t>
        </is>
      </c>
      <c r="C157" s="36" t="inlineStr">
        <is>
          <t>使用者回報</t>
        </is>
      </c>
      <c r="D157" s="45" t="inlineStr">
        <is>
          <t>未進食</t>
        </is>
      </c>
      <c r="E157" s="45" t="inlineStr"/>
      <c r="F157" s="45" t="inlineStr"/>
      <c r="G157" s="45" t="inlineStr">
        <is>
          <t>使用者回覆其他都沒有，依當晚剩餘缺漏記為午餐未進食。</t>
        </is>
      </c>
      <c r="H157" s="45" t="inlineStr"/>
    </row>
    <row r="158">
      <c r="A158" s="441" t="n">
        <v>46257</v>
      </c>
      <c r="B158" s="42" t="inlineStr">
        <is>
          <t>早餐</t>
        </is>
      </c>
      <c r="C158" s="36" t="inlineStr">
        <is>
          <t>使用者回報</t>
        </is>
      </c>
      <c r="D158" s="45" t="inlineStr">
        <is>
          <t>香蕉 1 根</t>
        </is>
      </c>
      <c r="E158" s="45" t="n">
        <v>1.3</v>
      </c>
      <c r="F158" s="45" t="n">
        <v>105</v>
      </c>
      <c r="G158" s="45" t="inlineStr">
        <is>
          <t>透明估算：按一般中型香蕉 1 根估算，約蛋白質 1.3g、碳水 27g、105 kcal；實際大小會造成差異。</t>
        </is>
      </c>
      <c r="H158" s="45" t="n">
        <v>27</v>
      </c>
    </row>
    <row r="159">
      <c r="A159" s="441" t="n">
        <v>46257</v>
      </c>
      <c r="B159" s="42" t="inlineStr">
        <is>
          <t>午餐</t>
        </is>
      </c>
      <c r="C159" s="36" t="inlineStr">
        <is>
          <t>使用者回報</t>
        </is>
      </c>
      <c r="D159" s="45" t="inlineStr">
        <is>
          <t>牛肉麵（麵吃一半）</t>
        </is>
      </c>
      <c r="E159" s="45" t="n">
        <v>30</v>
      </c>
      <c r="F159" s="45" t="n">
        <v>560</v>
      </c>
      <c r="G159" s="45" t="inlineStr">
        <is>
          <t>透明估算：未提供店家、牛肉份量、麵量與湯底油脂；按一般牛肉麵、麵只吃約一半估算約蛋白質 30g、碳水 45g、560 kcal。牛肉塊數、是否喝湯與湯底油脂會使實際熱量有明顯差異，估計誤差約 ±150 kcal。</t>
        </is>
      </c>
      <c r="H159" s="45" t="n">
        <v>45</v>
      </c>
    </row>
    <row r="160">
      <c r="A160" s="441" t="n">
        <v>46257</v>
      </c>
      <c r="B160" s="42" t="inlineStr">
        <is>
          <t>下午</t>
        </is>
      </c>
      <c r="C160" s="36" t="inlineStr">
        <is>
          <t>使用者回報</t>
        </is>
      </c>
      <c r="D160" s="45" t="inlineStr">
        <is>
          <t>乳清蛋白粉 60g</t>
        </is>
      </c>
      <c r="E160" s="45" t="n">
        <v>45</v>
      </c>
      <c r="F160" s="45" t="n">
        <v>240</v>
      </c>
      <c r="G160" s="45" t="inlineStr">
        <is>
          <t>估算沿用既有設定：乳清蛋白粉 60g 約蛋白質 45g、碳水 6g、240 kcal。</t>
        </is>
      </c>
      <c r="H160" s="45" t="n">
        <v>6</v>
      </c>
    </row>
    <row r="161">
      <c r="A161" s="441" t="n">
        <v>46257</v>
      </c>
      <c r="B161" s="42" t="inlineStr">
        <is>
          <t>晚餐</t>
        </is>
      </c>
      <c r="C161" s="36" t="inlineStr">
        <is>
          <t>使用者回報</t>
        </is>
      </c>
      <c r="D161" s="45" t="inlineStr">
        <is>
          <t>腿庫飯（半肥半瘦）</t>
        </is>
      </c>
      <c r="E161" s="45" t="n">
        <v>28</v>
      </c>
      <c r="F161" s="45" t="n">
        <v>780</v>
      </c>
      <c r="G161" s="45" t="inlineStr">
        <is>
          <t>透明估算：未提供店家、飯量、腿庫肉實際重量與配菜；按一般小吃店腿庫飯、肉為半肥半瘦估約蛋白質 28g、碳水 80g、780 kcal。肥肉比例、滷汁與白飯份量會造成明顯誤差，估計約 ±150–200 kcal。</t>
        </is>
      </c>
      <c r="H161" s="45" t="n">
        <v>80</v>
      </c>
    </row>
    <row r="162">
      <c r="A162" s="441" t="n">
        <v>46257</v>
      </c>
      <c r="B162" s="42" t="inlineStr">
        <is>
          <t>晚餐</t>
        </is>
      </c>
      <c r="C162" s="36" t="inlineStr">
        <is>
          <t>使用者回報</t>
        </is>
      </c>
      <c r="D162" s="45" t="inlineStr">
        <is>
          <t>香蕉 1 根</t>
        </is>
      </c>
      <c r="E162" s="45" t="n">
        <v>1.3</v>
      </c>
      <c r="F162" s="45" t="n">
        <v>105</v>
      </c>
      <c r="G162" s="45" t="inlineStr">
        <is>
          <t>透明估算：按一般中型香蕉 1 根估算，約蛋白質 1.3g、碳水 27g、105 kcal；實際大小會造成差異。</t>
        </is>
      </c>
      <c r="H162" s="45" t="n">
        <v>27</v>
      </c>
    </row>
    <row r="163">
      <c r="A163" s="441" t="n">
        <v>46257</v>
      </c>
      <c r="B163" s="42" t="inlineStr">
        <is>
          <t>晚餐</t>
        </is>
      </c>
      <c r="C163" s="36" t="inlineStr">
        <is>
          <t>使用者回報</t>
        </is>
      </c>
      <c r="D163" s="45" t="inlineStr">
        <is>
          <t>乳清蛋白粉 60g</t>
        </is>
      </c>
      <c r="E163" s="45" t="n">
        <v>45</v>
      </c>
      <c r="F163" s="45" t="n">
        <v>240</v>
      </c>
      <c r="G163" s="45" t="inlineStr">
        <is>
          <t>估算沿用既有設定：乳清蛋白粉 60g 約蛋白質 45g、碳水 6g、240 kcal。</t>
        </is>
      </c>
      <c r="H163" s="45" t="n">
        <v>6</v>
      </c>
    </row>
    <row r="164">
      <c r="A164" s="441" t="n">
        <v>46258</v>
      </c>
      <c r="B164" s="42" t="inlineStr">
        <is>
          <t>早餐</t>
        </is>
      </c>
      <c r="C164" s="36" t="inlineStr">
        <is>
          <t>使用者回報</t>
        </is>
      </c>
      <c r="D164" s="45" t="inlineStr">
        <is>
          <t>地瓜 1 份 + 雞胸肉 1 份 + 乳清蛋白粉 60g</t>
        </is>
      </c>
      <c r="E164" s="45" t="n">
        <v>77</v>
      </c>
      <c r="F164" s="45" t="n">
        <v>525</v>
      </c>
      <c r="G164" s="45" t="inlineStr">
        <is>
          <t>估算沿用既有設定：地瓜 1 份約蛋白質 2g、碳水 35g、125 kcal；雞胸肉 1 份約蛋白質 30g、160 kcal；乳清蛋白粉 60g 約蛋白質 45g、碳水 6g、240 kcal。</t>
        </is>
      </c>
      <c r="H164" s="45" t="n">
        <v>41</v>
      </c>
    </row>
    <row r="165">
      <c r="A165" s="441" t="n">
        <v>46258</v>
      </c>
      <c r="B165" s="42" t="inlineStr">
        <is>
          <t>晚餐</t>
        </is>
      </c>
      <c r="C165" s="36" t="inlineStr">
        <is>
          <t>使用者回報＋包裝熱量</t>
        </is>
      </c>
      <c r="D165" s="45" t="inlineStr">
        <is>
          <t>雞胸肉 1 份 + 乳清蛋白粉 40g + 7-ELEVEN 潮粵坊京醬鴨絲飯糰 1 個</t>
        </is>
      </c>
      <c r="E165" s="45" t="n">
        <v>66</v>
      </c>
      <c r="F165" s="45" t="n">
        <v>652</v>
      </c>
      <c r="G165" s="45" t="inlineStr">
        <is>
          <t>使用者補充京醬鴨絲飯糰包裝熱量為 332 kcal。雞胸肉 1 份沿用既有設定約蛋白質 30g、160 kcal；乳清蛋白粉 40g 約蛋白質 30g、碳水 4g、160 kcal；飯糰熱量改採使用者提供 332 kcal。飯糰蛋白質與碳水因未提供完整營養標示，暫沿用原估算約蛋白質 6g、碳水 40g。整餐約蛋白質 66g、碳水 44g、652 kcal。</t>
        </is>
      </c>
      <c r="H165" s="45" t="n">
        <v>44</v>
      </c>
    </row>
    <row r="166">
      <c r="A166" s="441" t="n">
        <v>46259</v>
      </c>
      <c r="B166" s="42" t="inlineStr">
        <is>
          <t>晚餐</t>
        </is>
      </c>
      <c r="C166" s="36" t="inlineStr">
        <is>
          <t>使用者回報</t>
        </is>
      </c>
      <c r="D166" s="45" t="inlineStr">
        <is>
          <t>樂晴牛排館 牛雞雙拼</t>
        </is>
      </c>
      <c r="E166" s="45" t="n">
        <v>88</v>
      </c>
      <c r="F166" s="45" t="n">
        <v>1450</v>
      </c>
      <c r="G166" s="45" t="inlineStr">
        <is>
          <t>使用者補充：鐵板麵有吃完，另有酥皮濃湯。透明估算修正為牛排＋雞排雙主餐、完整鐵板麵與醬汁、酥皮濃湯合計約蛋白質 88g、碳水 105g、1450 kcal；實際肉排大小、雞排油脂、麵量、醬汁與酥皮濃湯配方會造成明顯差異，估計誤差約 ±250–350 kcal。</t>
        </is>
      </c>
      <c r="H166" s="45" t="n">
        <v>105</v>
      </c>
    </row>
    <row r="167">
      <c r="A167" s="441" t="n">
        <v>46259</v>
      </c>
      <c r="B167" s="42" t="inlineStr">
        <is>
          <t>晚餐</t>
        </is>
      </c>
      <c r="C167" s="36" t="inlineStr">
        <is>
          <t>使用者回報</t>
        </is>
      </c>
      <c r="D167" s="45" t="inlineStr">
        <is>
          <t>香蕉 1 根</t>
        </is>
      </c>
      <c r="E167" s="45" t="n">
        <v>1.3</v>
      </c>
      <c r="F167" s="45" t="n">
        <v>105</v>
      </c>
      <c r="G167" s="45" t="inlineStr">
        <is>
          <t>透明估算：按一般中型香蕉 1 根估算，約蛋白質 1.3g、碳水 27g、105 kcal；實際大小會造成差異。</t>
        </is>
      </c>
      <c r="H167" s="45" t="n">
        <v>27</v>
      </c>
    </row>
    <row r="168">
      <c r="A168" s="441" t="n">
        <v>46259</v>
      </c>
      <c r="B168" s="42" t="inlineStr">
        <is>
          <t>早餐</t>
        </is>
      </c>
      <c r="C168" s="36" t="inlineStr">
        <is>
          <t>使用者更正</t>
        </is>
      </c>
      <c r="D168" s="45" t="inlineStr">
        <is>
          <t>地瓜 1 份 + 雞胸肉 1 份 + 乳清蛋白粉 40g</t>
        </is>
      </c>
      <c r="E168" s="45" t="n">
        <v>62</v>
      </c>
      <c r="F168" s="45" t="n">
        <v>445</v>
      </c>
      <c r="G168" s="45" t="inlineStr">
        <is>
          <t>使用者更正：早餐有喝乳清蛋白粉 40g。估算沿用既有設定：地瓜 1 份約蛋白質 2g、碳水 35g、125 kcal；雞胸肉 1 份約蛋白質 30g、160 kcal；乳清蛋白粉 40g 約蛋白質 30g、碳水 4g、160 kcal。</t>
        </is>
      </c>
      <c r="H168" s="45" t="n">
        <v>39</v>
      </c>
    </row>
    <row r="169">
      <c r="A169" s="441" t="n">
        <v>46260</v>
      </c>
      <c r="B169" s="42" t="inlineStr">
        <is>
          <t>晚餐</t>
        </is>
      </c>
      <c r="C169" s="36" t="inlineStr">
        <is>
          <t>使用者回報＋吃剩照片估算</t>
        </is>
      </c>
      <c r="D169" s="45" t="inlineStr">
        <is>
          <t>牛肉麵 1 碗</t>
        </is>
      </c>
      <c r="E169" s="45" t="n">
        <v>38</v>
      </c>
      <c r="F169" s="45" t="n">
        <v>650</v>
      </c>
      <c r="G169" s="45" t="inlineStr">
        <is>
          <t>使用者補充牛肉麵的麵沒有吃完。依吃剩照片觀察，牛肉大致已吃完，但約仍剩 40–50% 麵量與不少湯。由原先完整一碗估算 850 kcal、蛋白質 42g、碳水 95g，下修為實際攝取約蛋白質 38g、碳水 60g、650 kcal。實際剩餘麵量與湯汁攝取仍有誤差，估計約 ±120–180 kcal。</t>
        </is>
      </c>
      <c r="H169" s="45" t="n">
        <v>60</v>
      </c>
    </row>
    <row r="170">
      <c r="A170" s="441" t="n">
        <v>46260</v>
      </c>
      <c r="B170" s="42" t="inlineStr">
        <is>
          <t>晚餐</t>
        </is>
      </c>
      <c r="C170" s="36" t="inlineStr">
        <is>
          <t>使用者回報＋照片估算</t>
        </is>
      </c>
      <c r="D170" s="45" t="inlineStr">
        <is>
          <t>照片中兩盤小菜（品項未確認）</t>
        </is>
      </c>
      <c r="E170" s="45" t="n">
        <v>28</v>
      </c>
      <c r="F170" s="45" t="n">
        <v>450</v>
      </c>
      <c r="G170" s="45" t="inlineStr">
        <is>
          <t>使用者確認照片上方兩盤小菜都有吃。因無法僅憑照片可靠確認完整品項與重量，先以兩盤一般滷／拌小菜份量合計估算約蛋白質 28g、碳水 20g、450 kcal；實際值會受肉類/豆製品種類、油脂與醬汁影響，誤差可能約 ±150–200 kcal。</t>
        </is>
      </c>
      <c r="H170" s="45" t="n">
        <v>20</v>
      </c>
    </row>
    <row r="171">
      <c r="A171" s="441" t="n">
        <v>46260</v>
      </c>
      <c r="B171" s="42" t="inlineStr">
        <is>
          <t>晚餐</t>
        </is>
      </c>
      <c r="C171" s="36" t="inlineStr">
        <is>
          <t>使用者回報</t>
        </is>
      </c>
      <c r="D171" s="45" t="inlineStr">
        <is>
          <t>乳清蛋白粉 60g + 肌酸 5g</t>
        </is>
      </c>
      <c r="E171" s="45" t="n">
        <v>45</v>
      </c>
      <c r="F171" s="45" t="n">
        <v>240</v>
      </c>
      <c r="G171" s="45" t="inlineStr">
        <is>
          <t>估算沿用既有設定：乳清蛋白粉 60g 約蛋白質 45g、碳水 6g、240 kcal；肌酸 5g 不另計蛋白質、碳水或熱量。</t>
        </is>
      </c>
      <c r="H171" s="45" t="n">
        <v>6</v>
      </c>
    </row>
    <row r="172">
      <c r="A172" s="441" t="n">
        <v>46260</v>
      </c>
      <c r="B172" s="42" t="inlineStr">
        <is>
          <t>早餐</t>
        </is>
      </c>
      <c r="C172" s="36" t="inlineStr">
        <is>
          <t>使用者回報</t>
        </is>
      </c>
      <c r="D172" s="45" t="inlineStr">
        <is>
          <t>雞胸肉 1 份 + 地瓜 1 份</t>
        </is>
      </c>
      <c r="E172" s="45" t="n">
        <v>32</v>
      </c>
      <c r="F172" s="45" t="n">
        <v>285</v>
      </c>
      <c r="G172" s="45" t="inlineStr">
        <is>
          <t>估算沿用既有設定：雞胸肉 1 份約蛋白質 30g、160 kcal；地瓜 1 份約蛋白質 2g、碳水 35g、125 kcal。</t>
        </is>
      </c>
      <c r="H172" s="45" t="n">
        <v>35</v>
      </c>
    </row>
    <row r="173">
      <c r="A173" s="441" t="n">
        <v>46260</v>
      </c>
      <c r="B173" s="42" t="inlineStr">
        <is>
          <t>午餐</t>
        </is>
      </c>
      <c r="C173" s="36" t="inlineStr">
        <is>
          <t>使用者回報</t>
        </is>
      </c>
      <c r="D173" s="45" t="inlineStr">
        <is>
          <t>未進食</t>
        </is>
      </c>
      <c r="E173" s="45" t="inlineStr"/>
      <c r="F173" s="45" t="inlineStr"/>
      <c r="G173" s="45" t="inlineStr">
        <is>
          <t>使用者明確回報午餐沒有吃。</t>
        </is>
      </c>
      <c r="H173" s="45" t="inlineStr"/>
    </row>
    <row r="174">
      <c r="A174" s="441" t="n">
        <v>46261</v>
      </c>
      <c r="B174" s="42" t="inlineStr">
        <is>
          <t>早餐</t>
        </is>
      </c>
      <c r="C174" s="36" t="inlineStr">
        <is>
          <t>使用者回報</t>
        </is>
      </c>
      <c r="D174" s="45" t="inlineStr">
        <is>
          <t>雞胸肉 1 份 + 7-ELEVEN 海鹽水煮蛋 2 顆 + 地瓜 1 份</t>
        </is>
      </c>
      <c r="E174" s="45" t="n">
        <v>42.8</v>
      </c>
      <c r="F174" s="45" t="n">
        <v>391</v>
      </c>
      <c r="G174" s="45" t="inlineStr">
        <is>
          <t>估算沿用既有設定：雞胸肉 1 份約蛋白質 30g、160 kcal；地瓜 1 份約蛋白質 2g、碳水 35g、125 kcal；7-ELEVEN 海鹽水煮蛋 2 顆沿用先前雞蛋估算，每顆約蛋白質 5.4g、碳水 1.4g、53 kcal。</t>
        </is>
      </c>
      <c r="H174" s="45" t="n">
        <v>37.8</v>
      </c>
    </row>
    <row r="175">
      <c r="A175" s="441" t="n">
        <v>46261</v>
      </c>
      <c r="B175" s="42" t="inlineStr">
        <is>
          <t>晚餐</t>
        </is>
      </c>
      <c r="C175" s="36" t="inlineStr">
        <is>
          <t>使用者回報＋照片估算</t>
        </is>
      </c>
      <c r="D175" s="45" t="inlineStr">
        <is>
          <t>牛腩咖哩飯（牛腩約 7 塊）</t>
        </is>
      </c>
      <c r="E175" s="45" t="n">
        <v>35</v>
      </c>
      <c r="F175" s="45" t="n">
        <v>1050</v>
      </c>
      <c r="G175" s="45" t="inlineStr">
        <is>
          <t>依照片與使用者回報估算：大盤白飯、咖哩醬、馬鈴薯/紅蘿蔔與牛腩約 7 塊。白飯份量看起來偏大，約 2 碗上下；牛腩約 7 塊。整份先估蛋白質約 35g、碳水約 125g、1050 kcal。實際飯量、牛腩肥瘦與咖哩油脂可能使熱量誤差約 ±200 kcal。</t>
        </is>
      </c>
      <c r="H175" s="45" t="n">
        <v>125</v>
      </c>
    </row>
    <row r="176">
      <c r="A176" s="441" t="n">
        <v>46262</v>
      </c>
      <c r="B176" s="42" t="inlineStr">
        <is>
          <t>早餐</t>
        </is>
      </c>
      <c r="C176" s="36" t="inlineStr">
        <is>
          <t>使用者回報</t>
        </is>
      </c>
      <c r="D176" s="45" t="inlineStr">
        <is>
          <t>乳清蛋白粉 40g + 雞胸肉 1 份 + 地瓜 1 份 + 肌酸 5g</t>
        </is>
      </c>
      <c r="E176" s="45" t="n">
        <v>62</v>
      </c>
      <c r="F176" s="45" t="n">
        <v>445</v>
      </c>
      <c r="G176" s="45" t="inlineStr">
        <is>
          <t>估算沿用既有設定：乳清蛋白粉 40g 約蛋白質 30g、碳水 4g、160 kcal；雞胸肉 1 份約蛋白質 30g、160 kcal；地瓜 1 份約蛋白質 2g、碳水 35g、125 kcal；肌酸 5g 不另計蛋白質、碳水或熱量。</t>
        </is>
      </c>
      <c r="H176" s="45" t="n">
        <v>39</v>
      </c>
    </row>
    <row r="177">
      <c r="A177" s="441" t="n">
        <v>46262</v>
      </c>
      <c r="B177" s="42" t="inlineStr">
        <is>
          <t>晚餐</t>
        </is>
      </c>
      <c r="C177" s="36" t="inlineStr">
        <is>
          <t>使用者回報＋7-ELEVEN 官方熱量＋既有雞蛋估算</t>
        </is>
      </c>
      <c r="D177" s="45" t="inlineStr">
        <is>
          <t>7-ELEVEN 林聰明雞肉飯飯糰 1 個 + 茶葉蛋 2 顆</t>
        </is>
      </c>
      <c r="E177" s="45" t="n">
        <v>16.8</v>
      </c>
      <c r="F177" s="45" t="n">
        <v>332</v>
      </c>
      <c r="G177" s="45" t="inlineStr">
        <is>
          <t>7-ELEVEN 官方目前列林聰明-雞肉飯飯糰每個 226 kcal；完整蛋白質與碳水未公開，先以一般同尺寸飯糰約蛋白質 6g、碳水 38g 估算。茶葉蛋 2 顆沿用既有 7-ELEVEN 雞蛋估算，每顆約蛋白質 5.4g、碳水 1.4g、53 kcal。合計約蛋白質 16.8g、碳水 40.8g、332 kcal；若有包裝營養標示可再修正。</t>
        </is>
      </c>
      <c r="H177" s="45" t="n">
        <v>40.8</v>
      </c>
    </row>
    <row r="178">
      <c r="A178" s="441" t="n">
        <v>46262</v>
      </c>
      <c r="B178" s="42" t="inlineStr">
        <is>
          <t>晚餐</t>
        </is>
      </c>
      <c r="C178" s="36" t="inlineStr">
        <is>
          <t>使用者回報＋既有乳清估算</t>
        </is>
      </c>
      <c r="D178" s="45" t="inlineStr">
        <is>
          <t>乳清蛋白粉 80g</t>
        </is>
      </c>
      <c r="E178" s="45" t="n">
        <v>60</v>
      </c>
      <c r="F178" s="45" t="n">
        <v>320</v>
      </c>
      <c r="G178" s="45" t="inlineStr">
        <is>
          <t>估算沿用既有設定：乳清蛋白粉 80g 約蛋白質 60g、碳水 8g、320 kcal。</t>
        </is>
      </c>
      <c r="H178" s="45" t="n">
        <v>8</v>
      </c>
    </row>
    <row r="179">
      <c r="A179" s="441" t="n">
        <v>46262</v>
      </c>
      <c r="B179" s="42" t="inlineStr">
        <is>
          <t>午餐</t>
        </is>
      </c>
      <c r="C179" s="36" t="inlineStr">
        <is>
          <t>使用者回報</t>
        </is>
      </c>
      <c r="D179" s="45" t="inlineStr">
        <is>
          <t>未進食</t>
        </is>
      </c>
      <c r="E179" s="45" t="n">
        <v>0</v>
      </c>
      <c r="F179" s="45" t="n">
        <v>0</v>
      </c>
      <c r="G179" s="45" t="inlineStr">
        <is>
          <t>使用者明確回報今天午餐未進食。</t>
        </is>
      </c>
      <c r="H179" s="45" t="n">
        <v>0</v>
      </c>
    </row>
    <row r="180">
      <c r="A180" s="441" t="n">
        <v>46263</v>
      </c>
      <c r="B180" s="42" t="inlineStr">
        <is>
          <t>早餐</t>
        </is>
      </c>
      <c r="C180" s="36" t="inlineStr">
        <is>
          <t>使用者回報＋既有乳清/地瓜/香蕉估算</t>
        </is>
      </c>
      <c r="D180" s="45" t="inlineStr">
        <is>
          <t>乳清蛋白粉 40g + 雞胸肉 1 份 + 地瓜 1 份 + 香蕉 2 根</t>
        </is>
      </c>
      <c r="E180" s="45" t="n">
        <v>56.6</v>
      </c>
      <c r="F180" s="45" t="n">
        <v>615</v>
      </c>
      <c r="G180" s="45" t="inlineStr">
        <is>
          <t>使用者明確回報雞胸肉蛋白質 22g。估算：乳清蛋白粉 40g 約蛋白質 30g、碳水 4g、160 kcal；雞胸肉本次採蛋白質 22g，熱量先以一般低脂雞胸相近份量估約 120 kcal、碳水 0g；地瓜 1 份約蛋白質 2g、碳水 35g、125 kcal；香蕉 2 根按一般中型香蕉每根約蛋白質 1.3g、碳水 27g、105 kcal。合計約蛋白質 56.6g、碳水 93g、615 kcal。若雞胸包裝有熱量標示可再修正。</t>
        </is>
      </c>
      <c r="H180" s="45" t="n">
        <v>93</v>
      </c>
    </row>
    <row r="181">
      <c r="A181" s="441" t="n">
        <v>46263</v>
      </c>
      <c r="B181" s="42" t="inlineStr">
        <is>
          <t>晚餐</t>
        </is>
      </c>
      <c r="C181" s="36" t="inlineStr">
        <is>
          <t>使用者回報＋公開菜單確認品項＋一般椒麻雞飯營養估算</t>
        </is>
      </c>
      <c r="D181" s="45" t="inlineStr">
        <is>
          <t>梁社漢 椒麻雞飯 1 份</t>
        </is>
      </c>
      <c r="E181" s="45" t="n">
        <v>50</v>
      </c>
      <c r="F181" s="45" t="n">
        <v>900</v>
      </c>
      <c r="G181" s="45" t="inlineStr">
        <is>
          <t>公開菜單可確認梁社漢椒麻雞飯為去骨雞腿、椒麻醬、高麗菜絲與白飯；店家未公開完整營養標示。參考同類椒麻雞腿飯公開營養資料與一般便當份量，先估約蛋白質 50g、碳水 100g、900 kcal；主要誤差來自雞腿油脂、炸粉/吸油、白飯份量與椒麻醬，估計誤差約 ±150–200 kcal。</t>
        </is>
      </c>
      <c r="H181" s="45" t="n">
        <v>100</v>
      </c>
    </row>
    <row r="182">
      <c r="A182" s="441" t="n">
        <v>46263</v>
      </c>
      <c r="B182" s="42" t="inlineStr">
        <is>
          <t>午餐</t>
        </is>
      </c>
      <c r="C182" s="36" t="inlineStr">
        <is>
          <t>使用者回報</t>
        </is>
      </c>
      <c r="D182" s="45" t="inlineStr">
        <is>
          <t>未進食</t>
        </is>
      </c>
      <c r="E182" s="45" t="n">
        <v>0</v>
      </c>
      <c r="F182" s="45" t="n">
        <v>0</v>
      </c>
      <c r="G182" s="45" t="inlineStr">
        <is>
          <t>使用者明確回報今天午餐未進食。</t>
        </is>
      </c>
      <c r="H182" s="45" t="n">
        <v>0</v>
      </c>
    </row>
    <row r="183">
      <c r="A183" s="441" t="n">
        <v>46263</v>
      </c>
      <c r="B183" s="42" t="inlineStr">
        <is>
          <t>晚餐</t>
        </is>
      </c>
      <c r="C183" s="36" t="inlineStr">
        <is>
          <t>使用者回報＋既有乳清估算</t>
        </is>
      </c>
      <c r="D183" s="45" t="inlineStr">
        <is>
          <t>乳清蛋白粉 40g</t>
        </is>
      </c>
      <c r="E183" s="45" t="n">
        <v>30</v>
      </c>
      <c r="F183" s="45" t="n">
        <v>160</v>
      </c>
      <c r="G183" s="45" t="inlineStr">
        <is>
          <t>估算沿用既有設定：乳清蛋白粉 40g 約蛋白質 30g、碳水 4g、160 kcal。</t>
        </is>
      </c>
      <c r="H183" s="45" t="n">
        <v>4</v>
      </c>
    </row>
    <row r="184">
      <c r="A184" s="441" t="n">
        <v>46264</v>
      </c>
      <c r="B184" s="42" t="inlineStr">
        <is>
          <t>早餐</t>
        </is>
      </c>
      <c r="C184" s="36" t="inlineStr">
        <is>
          <t>使用者回報＋既有乳清/雞胸/地瓜估算</t>
        </is>
      </c>
      <c r="D184" s="45" t="inlineStr">
        <is>
          <t>乳清蛋白粉 40g + 雞胸肉 1 份 + 地瓜 1 份</t>
        </is>
      </c>
      <c r="E184" s="45" t="n">
        <v>62</v>
      </c>
      <c r="F184" s="45" t="n">
        <v>445</v>
      </c>
      <c r="G184" s="45" t="inlineStr">
        <is>
          <t>估算沿用既有設定：乳清蛋白粉 40g 約蛋白質 30g、碳水 4g、160 kcal；雞胸肉 1 份約蛋白質 30g、160 kcal；地瓜 1 份約蛋白質 2g、碳水 35g、125 kcal。</t>
        </is>
      </c>
      <c r="H184" s="45" t="n">
        <v>39</v>
      </c>
    </row>
    <row r="185">
      <c r="A185" s="441" t="n">
        <v>46264</v>
      </c>
      <c r="B185" s="42" t="inlineStr">
        <is>
          <t>晚餐</t>
        </is>
      </c>
      <c r="C185" s="36" t="inlineStr">
        <is>
          <t>使用者回報＋一般份量估算</t>
        </is>
      </c>
      <c r="D185" s="45" t="inlineStr">
        <is>
          <t>美式漢堡 1 個 + 雞塊 6 塊</t>
        </is>
      </c>
      <c r="E185" s="45" t="n">
        <v>42</v>
      </c>
      <c r="F185" s="45" t="n">
        <v>850</v>
      </c>
      <c r="G185" s="45" t="inlineStr">
        <is>
          <t>未提供店家、漢堡肉排大小、起司/醬料與雞塊品牌，先按一般美式牛肉漢堡 1 個加雞塊 6 塊透明估算：約蛋白質 42g、碳水 65g、850 kcal。實際熱量受肉排大小、起司、醬料、麵包與炸雞塊吸油量影響，估計誤差約 ±200 kcal；若補充店家或照片可再修正。</t>
        </is>
      </c>
      <c r="H185" s="45" t="n">
        <v>65</v>
      </c>
    </row>
    <row r="186">
      <c r="A186" s="441" t="n">
        <v>46264</v>
      </c>
      <c r="B186" s="42" t="inlineStr">
        <is>
          <t>午餐</t>
        </is>
      </c>
      <c r="C186" s="36" t="inlineStr">
        <is>
          <t>使用者回報</t>
        </is>
      </c>
      <c r="D186" s="45" t="inlineStr">
        <is>
          <t>未進食</t>
        </is>
      </c>
      <c r="E186" s="45" t="n">
        <v>0</v>
      </c>
      <c r="F186" s="45" t="n">
        <v>0</v>
      </c>
      <c r="G186" s="45" t="inlineStr">
        <is>
          <t>使用者明確回報今天午餐未進食。</t>
        </is>
      </c>
      <c r="H186" s="45" t="n">
        <v>0</v>
      </c>
    </row>
    <row r="187">
      <c r="A187" s="441" t="n">
        <v>46265</v>
      </c>
      <c r="B187" s="42" t="inlineStr">
        <is>
          <t>晚餐</t>
        </is>
      </c>
      <c r="C187" s="36" t="inlineStr">
        <is>
          <t>使用者回報＋一般份量估算</t>
        </is>
      </c>
      <c r="D187" s="45" t="inlineStr">
        <is>
          <t>海南雞飯 1 份 + 皮蛋豆腐 1 份 + 胡椒餅 1 個</t>
        </is>
      </c>
      <c r="E187" s="45" t="n">
        <v>55</v>
      </c>
      <c r="F187" s="45" t="n">
        <v>1200</v>
      </c>
      <c r="G187" s="45" t="inlineStr">
        <is>
          <t>未提供店家與實際份量，先以一般外食份量估算：海南雞飯約 650 kcal、蛋白質 38g、碳水 75g；皮蛋豆腐約 220 kcal、蛋白質 11g、碳水 8g；胡椒餅約 330 kcal、蛋白質 6g、碳水 42g。合計約 1200 kcal、蛋白質 55g、碳水 125g。雞皮、雞油飯、醬料、豆腐份量及胡椒餅大小會造成明顯誤差，整餐熱量估計誤差約 ±200 kcal。</t>
        </is>
      </c>
      <c r="H187" s="45" t="n">
        <v>125</v>
      </c>
    </row>
    <row r="188">
      <c r="A188" s="441" t="n">
        <v>46265</v>
      </c>
      <c r="B188" s="42" t="inlineStr">
        <is>
          <t>早餐</t>
        </is>
      </c>
      <c r="C188" s="36" t="inlineStr">
        <is>
          <t>使用者回報＋既有乳清估算</t>
        </is>
      </c>
      <c r="D188" s="45" t="inlineStr">
        <is>
          <t>地瓜（份量未提供） + 乳清蛋白粉 40g + 雞胸肉 1 塊（重量未提供）</t>
        </is>
      </c>
      <c r="E188" s="45" t="n">
        <v>30</v>
      </c>
      <c r="F188" s="45" t="n">
        <v>160</v>
      </c>
      <c r="G188" s="45" t="inlineStr">
        <is>
          <t>乳清蛋白粉 40g 沿用既有估算：約蛋白質 30g、碳水 4g、160 kcal。地瓜份量與雞胸肉重量未提供，依規則不猜份量，因此本列營養數值暫只計入乳清；地瓜與雞胸肉營養待補份量後再修正。</t>
        </is>
      </c>
      <c r="H188" s="45" t="n">
        <v>4</v>
      </c>
    </row>
    <row r="189">
      <c r="A189" s="441" t="n">
        <v>46265</v>
      </c>
      <c r="B189" s="42" t="inlineStr">
        <is>
          <t>午餐</t>
        </is>
      </c>
      <c r="C189" s="36" t="inlineStr">
        <is>
          <t>使用者回報</t>
        </is>
      </c>
      <c r="D189" s="45" t="inlineStr">
        <is>
          <t>未進食</t>
        </is>
      </c>
      <c r="E189" s="45" t="n">
        <v>0</v>
      </c>
      <c r="F189" s="45" t="n">
        <v>0</v>
      </c>
      <c r="G189" s="45" t="inlineStr">
        <is>
          <t>使用者明確回報今天午餐未進食。</t>
        </is>
      </c>
      <c r="H189" s="45" t="n">
        <v>0</v>
      </c>
    </row>
    <row r="190">
      <c r="A190" s="441" t="n">
        <v>46265</v>
      </c>
      <c r="B190" s="42" t="inlineStr">
        <is>
          <t>晚餐</t>
        </is>
      </c>
      <c r="C190" s="36" t="inlineStr">
        <is>
          <t>使用者回報＋既有乳清估算</t>
        </is>
      </c>
      <c r="D190" s="45" t="inlineStr">
        <is>
          <t>乳清蛋白粉 40g</t>
        </is>
      </c>
      <c r="E190" s="45" t="n">
        <v>30</v>
      </c>
      <c r="F190" s="45" t="n">
        <v>160</v>
      </c>
      <c r="G190" s="45" t="inlineStr">
        <is>
          <t>晚餐原有餐點保留，本筆為追加。乳清蛋白粉 40g 沿用既有估算：約蛋白質 30g、碳水 4g、160 kcal。</t>
        </is>
      </c>
      <c r="H190" s="45" t="n">
        <v>4</v>
      </c>
    </row>
    <row r="191">
      <c r="A191" s="441" t="n">
        <v>46266</v>
      </c>
      <c r="B191" s="42" t="inlineStr">
        <is>
          <t>午餐</t>
        </is>
      </c>
      <c r="C191" s="36" t="inlineStr">
        <is>
          <t>使用者回報</t>
        </is>
      </c>
      <c r="D191" s="45" t="inlineStr">
        <is>
          <t>炸雞 3 塊</t>
        </is>
      </c>
      <c r="E191" s="45" t="n">
        <v>50</v>
      </c>
      <c r="F191" s="45" t="n"/>
      <c r="G191" s="45" t="inlineStr">
        <is>
          <t>使用者回報炸雞 3 塊，但未提供店家、部位、單塊大小或重量；依規則不猜份量，因此蛋白質、碳水與熱量暫留空白。 使用者指定炸雞 3 塊蛋白質以 50g 計。</t>
        </is>
      </c>
      <c r="H191" s="45" t="n"/>
    </row>
    <row r="192">
      <c r="A192" s="441" t="n">
        <v>46266</v>
      </c>
      <c r="B192" s="42" t="inlineStr">
        <is>
          <t>晚餐</t>
        </is>
      </c>
      <c r="C192" s="36" t="inlineStr">
        <is>
          <t>使用者更正＋一般中型香蕉估算</t>
        </is>
      </c>
      <c r="D192" s="45" t="inlineStr">
        <is>
          <t>香蕉 1 根</t>
        </is>
      </c>
      <c r="E192" s="45" t="n">
        <v>1.3</v>
      </c>
      <c r="F192" s="45" t="n">
        <v>105</v>
      </c>
      <c r="G192" s="45" t="inlineStr">
        <is>
          <t>使用者更正：晚餐有吃香蕉 1 根，取代先前『未進食』紀錄。未提供重量，按一般中型香蕉透明估算：約蛋白質 1.3g、碳水 27g、105 kcal；實際依大小會有差異。</t>
        </is>
      </c>
      <c r="H192" s="45" t="n">
        <v>27</v>
      </c>
    </row>
    <row r="193">
      <c r="A193" s="441" t="n">
        <v>46266</v>
      </c>
      <c r="B193" s="42" t="inlineStr">
        <is>
          <t>早餐</t>
        </is>
      </c>
      <c r="C193" s="36" t="inlineStr">
        <is>
          <t>使用者更正＋沿用既有固定估算</t>
        </is>
      </c>
      <c r="D193" s="45" t="inlineStr">
        <is>
          <t>地瓜 1 份 + 雞胸肉 1 份 + 乳清蛋白粉 20g</t>
        </is>
      </c>
      <c r="E193" s="45" t="n">
        <v>47</v>
      </c>
      <c r="F193" s="45" t="n">
        <v>365</v>
      </c>
      <c r="G193" s="45" t="inlineStr">
        <is>
          <t>使用者更正早餐份量為地瓜 1 份、雞胸肉 1 份。沿用既有固定估算：地瓜 1 份約蛋白質 2g、碳水 35g、125 kcal；雞胸肉 1 份約蛋白質 30g、160 kcal；乳清蛋白粉 20g 約蛋白質 15g、碳水 2g、80 kcal。合計約蛋白質 47g、碳水 37g、365 kcal。</t>
        </is>
      </c>
      <c r="H193" s="45" t="n">
        <v>37</v>
      </c>
    </row>
    <row r="194">
      <c r="A194" s="441" t="n">
        <v>46266</v>
      </c>
      <c r="B194" s="42" t="inlineStr">
        <is>
          <t>晚餐</t>
        </is>
      </c>
      <c r="C194" s="36" t="inlineStr">
        <is>
          <t>使用者回報＋既有乳清估算</t>
        </is>
      </c>
      <c r="D194" s="45" t="inlineStr">
        <is>
          <t>乳清蛋白粉 40g</t>
        </is>
      </c>
      <c r="E194" s="45" t="n">
        <v>30</v>
      </c>
      <c r="F194" s="45" t="n">
        <v>160</v>
      </c>
      <c r="G194" s="45" t="inlineStr">
        <is>
          <t>晚餐原有香蕉紀錄保留，本筆為追加。乳清蛋白粉 40g 沿用既有估算：約蛋白質 30g、碳水 4g、160 kcal。</t>
        </is>
      </c>
      <c r="H194" s="45" t="n">
        <v>4</v>
      </c>
    </row>
    <row r="195">
      <c r="A195" s="441" t="n">
        <v>46266</v>
      </c>
      <c r="B195" s="42" t="inlineStr">
        <is>
          <t>晚餐</t>
        </is>
      </c>
      <c r="C195" s="36" t="inlineStr">
        <is>
          <t>使用者回報＋小塊切盤水果透明估算</t>
        </is>
      </c>
      <c r="D195" s="45" t="inlineStr">
        <is>
          <t>切盤水果：西瓜 3 小塊 + 蘋果 2 小塊 + 百香果 2 小塊 + 蓮霧 1 小塊 + 芒果 2 小塊</t>
        </is>
      </c>
      <c r="E195" s="45" t="n">
        <v>1.5</v>
      </c>
      <c r="F195" s="45" t="n">
        <v>135</v>
      </c>
      <c r="G195" s="45" t="inlineStr">
        <is>
          <t>使用者回報皆為切成小塊的水果，未提供實際重量。依小塊切盤水果做透明估算：西瓜 3 小塊、蘋果 2 小塊、百香果 2 小塊、蓮霧 1 小塊、芒果 2 小塊，合計約蛋白質 1.5g、碳水 32g、135 kcal；實際會隨切塊大小與百香果可食量變動。</t>
        </is>
      </c>
      <c r="H195" s="45" t="n">
        <v>32</v>
      </c>
    </row>
    <row r="196">
      <c r="A196" s="441" t="n">
        <v>46266</v>
      </c>
      <c r="B196" s="42" t="inlineStr">
        <is>
          <t>晚餐</t>
        </is>
      </c>
      <c r="C196" s="36" t="inlineStr">
        <is>
          <t>使用者回報＋照片份量估算</t>
        </is>
      </c>
      <c r="D196" s="45" t="inlineStr">
        <is>
          <t>水果拼盤：西瓜 3 小塊 + 蘋果 2 小塊 + 百香果 2 小塊 + 蓮霧 1 小塊 + 芒果 2 小塊</t>
        </is>
      </c>
      <c r="E196" s="45" t="n">
        <v>1.5</v>
      </c>
      <c r="F196" s="45" t="n">
        <v>140</v>
      </c>
      <c r="G196" s="45" t="inlineStr">
        <is>
          <t>依使用者明確列出的水果與照片中可見的小份量做透明估算，合計先記約蛋白質 1.5g、碳水 34g、140 kcal；切塊實際重量未量測，誤差可能約 ±40 kcal。照片另可見一大塊淡色瓜類，但使用者文字未提到，依規則暫不計入。</t>
        </is>
      </c>
      <c r="H196" s="45" t="n">
        <v>34</v>
      </c>
    </row>
    <row r="197">
      <c r="A197" s="441" t="n">
        <v>46267</v>
      </c>
      <c r="B197" s="42" t="inlineStr">
        <is>
          <t>晚餐</t>
        </is>
      </c>
      <c r="C197" s="36" t="inlineStr">
        <is>
          <t>使用者回報＋麥當勞台灣官方營養資料／透明估算</t>
        </is>
      </c>
      <c r="D197" s="45" t="inlineStr">
        <is>
          <t>麥當勞：大麥克 1 個 + 麥克鷄塊 6 塊 + 大薯 1 份 + 無糖可樂</t>
        </is>
      </c>
      <c r="E197" s="45" t="n">
        <v>52</v>
      </c>
      <c r="F197" s="45" t="n">
        <v>1370</v>
      </c>
      <c r="G197" s="45" t="inlineStr">
        <is>
          <t>大麥克採麥當勞台灣公開營養資料約 604 kcal、蛋白質 28g、碳水 51g；大薯採官方公開資料約 499 kcal、蛋白質 7.8g、碳水 66.2g；6 塊原味麥克鷄塊因官網頁面本次未直接顯示完整數字，依同品項近期公開資料透明估約 267 kcal、蛋白質 16g、碳水 16g；無糖可樂按 0 kcal 計。未提及沾醬，因此不另計。合計約 1370 kcal、蛋白質 52g、碳水 133g。</t>
        </is>
      </c>
      <c r="H197" s="45" t="n">
        <v>133</v>
      </c>
    </row>
    <row r="198">
      <c r="A198" s="441" t="n">
        <v>46267</v>
      </c>
      <c r="B198" s="42" t="inlineStr">
        <is>
          <t>早餐</t>
        </is>
      </c>
      <c r="C198" s="36" t="inlineStr">
        <is>
          <t>使用者回報＋既有 7-ELEVEN 飯糰紀錄</t>
        </is>
      </c>
      <c r="D198" s="45" t="inlineStr">
        <is>
          <t>7-ELEVEN 鮮蔬鮪魚御飯糰 1 個</t>
        </is>
      </c>
      <c r="E198" s="45" t="n">
        <v>5.2</v>
      </c>
      <c r="F198" s="45" t="n">
        <v>234</v>
      </c>
      <c r="G198" s="45" t="inlineStr">
        <is>
          <t>沿用追蹤表既有 7-ELEVEN 雙蔬／鮮蔬鮪魚飯糰設定：約 234 kcal、蛋白質 5.2g；碳水未有本次包裝標示，按既有同尺寸飯糰估算約 45g。</t>
        </is>
      </c>
      <c r="H198" s="45" t="n">
        <v>45</v>
      </c>
    </row>
    <row r="199">
      <c r="A199" s="441" t="n">
        <v>46267</v>
      </c>
      <c r="B199" s="42" t="inlineStr">
        <is>
          <t>午餐</t>
        </is>
      </c>
      <c r="C199" s="36" t="inlineStr">
        <is>
          <t>使用者回報＋既有 7-ELEVEN 飯糰／乳清估算</t>
        </is>
      </c>
      <c r="D199" s="45" t="inlineStr">
        <is>
          <t>7-ELEVEN 肉鬆御飯糰 1 個 + 乳清蛋白粉 40g</t>
        </is>
      </c>
      <c r="E199" s="45" t="n">
        <v>35.5</v>
      </c>
      <c r="F199" s="45" t="n">
        <v>411</v>
      </c>
      <c r="G199" s="45" t="inlineStr">
        <is>
          <t>肉鬆御飯糰沿用追蹤表既有設定：約 251 kcal、蛋白質 5.5g，碳水約 45g；乳清蛋白粉 40g 沿用既有設定：約 160 kcal、蛋白質 30g、碳水 4g。合計約 411 kcal、蛋白質 35.5g、碳水 49g。</t>
        </is>
      </c>
      <c r="H199" s="45" t="n">
        <v>49</v>
      </c>
    </row>
    <row r="200">
      <c r="A200" s="441" t="n">
        <v>46267</v>
      </c>
      <c r="B200" s="42" t="inlineStr">
        <is>
          <t>晚餐</t>
        </is>
      </c>
      <c r="C200" s="36" t="inlineStr">
        <is>
          <t>使用者回報＋既有乳清估算</t>
        </is>
      </c>
      <c r="D200" s="45" t="inlineStr">
        <is>
          <t>乳清蛋白粉 40g</t>
        </is>
      </c>
      <c r="E200" s="45" t="n">
        <v>30</v>
      </c>
      <c r="F200" s="45" t="n">
        <v>160</v>
      </c>
      <c r="G200" s="45" t="inlineStr">
        <is>
          <t>使用者補充今天另外喝了乳清蛋白粉 40g；本筆為追加，不覆蓋既有早餐、午餐與晚餐紀錄。沿用既有估算：約蛋白質 30g、碳水 4g、160 kcal。</t>
        </is>
      </c>
      <c r="H200" s="45" t="n">
        <v>4</v>
      </c>
    </row>
    <row r="201">
      <c r="A201" s="441" t="n">
        <v>46268</v>
      </c>
      <c r="B201" s="42" t="inlineStr">
        <is>
          <t>早餐</t>
        </is>
      </c>
      <c r="C201" s="36" t="inlineStr">
        <is>
          <t>使用者更正＋既有地瓜設定＋7-ELEVEN官方現售品項資料</t>
        </is>
      </c>
      <c r="D201" s="45" t="inlineStr">
        <is>
          <t>7-ELEVEN 30元地瓜 1 份 + 21Plus剝皮辣椒雞胸肉 1 包（145g）</t>
        </is>
      </c>
      <c r="E201" s="45" t="n">
        <v>32</v>
      </c>
      <c r="F201" s="45" t="n">
        <v>288</v>
      </c>
      <c r="G201" s="45" t="inlineStr">
        <is>
          <t>使用者更正實際品項：地瓜為 7-ELEVEN 現售 30 元地瓜；雞胸為 21Plus 剝皮辣椒雞胸肉。地瓜沿用追蹤表既有 1 份設定：約蛋白質 2g、碳水 35g、125 kcal。21Plus 剝皮辣椒雞胸肉目前 7-ELEVEN 現售規格為 145g，官方頁面列熱量 163 kcal；官方頁面未列完整蛋白質數字，本筆蛋白質先沿用一包雞胸約 30g 的透明估算。合計約蛋白質 32g、288 kcal；碳水 35g 僅計入地瓜，雞胸調味碳水未有可靠標示故不猜。</t>
        </is>
      </c>
      <c r="H201" s="45" t="n">
        <v>35</v>
      </c>
    </row>
    <row r="202">
      <c r="A202" s="441" t="n">
        <v>46268</v>
      </c>
      <c r="B202" s="42" t="inlineStr">
        <is>
          <t>晚餐</t>
        </is>
      </c>
      <c r="C202" s="36" t="inlineStr">
        <is>
          <t>使用者回報</t>
        </is>
      </c>
      <c r="D202" s="45" t="inlineStr">
        <is>
          <t>青醬義大利麵 + 小雞腿</t>
        </is>
      </c>
      <c r="E202" s="45" t="n">
        <v>42</v>
      </c>
      <c r="F202" s="45" t="n">
        <v>900</v>
      </c>
      <c r="G202" s="45" t="inlineStr">
        <is>
          <t>使用者回報晚餐吃青醬義大利麵與小雞腿；未提供義大利麵實際份量、雞腿數量或重量，依規則不猜營養數值。 依使用者提供照片做透明估算：青醬義大利麵約 1 份偏大份量，麵體約 250–300g 熟重並含青醬與可見雞肉；另有 1 支小雞腿。整餐先估約蛋白質 42g、碳水 95g、900 kcal。實際會受青醬用油/起司量、麵量與雞腿大小影響，熱量誤差約 ±150–200 kcal。照片中的飲料因種類未確認，不計入。</t>
        </is>
      </c>
      <c r="H202" s="45" t="n">
        <v>95</v>
      </c>
    </row>
    <row r="203">
      <c r="A203" s="441" t="n">
        <v>46268</v>
      </c>
      <c r="B203" s="42" t="inlineStr">
        <is>
          <t>午餐</t>
        </is>
      </c>
      <c r="C203" s="36" t="inlineStr">
        <is>
          <t>使用者回報</t>
        </is>
      </c>
      <c r="D203" s="45" t="inlineStr">
        <is>
          <t>未進食</t>
        </is>
      </c>
      <c r="E203" s="45" t="n">
        <v>0</v>
      </c>
      <c r="F203" s="45" t="n">
        <v>0</v>
      </c>
      <c r="G203" s="45" t="inlineStr">
        <is>
          <t>使用者明確回報今天午餐未進食。</t>
        </is>
      </c>
      <c r="H203" s="45" t="n">
        <v>0</v>
      </c>
    </row>
    <row r="204">
      <c r="A204" s="441" t="n">
        <v>46268</v>
      </c>
      <c r="B204" s="42" t="inlineStr">
        <is>
          <t>晚餐</t>
        </is>
      </c>
      <c r="C204" s="36" t="inlineStr">
        <is>
          <t>使用者回報＋既有乳清估算</t>
        </is>
      </c>
      <c r="D204" s="45" t="inlineStr">
        <is>
          <t>乳清蛋白粉 60g</t>
        </is>
      </c>
      <c r="E204" s="45" t="n">
        <v>45</v>
      </c>
      <c r="F204" s="45" t="n">
        <v>240</v>
      </c>
      <c r="G204" s="45" t="inlineStr">
        <is>
          <t>使用者補充晚餐後喝了乳清蛋白粉 60g；沿用既有估算：約蛋白質 45g、碳水 6g、240 kcal。</t>
        </is>
      </c>
      <c r="H204" s="45" t="n">
        <v>6</v>
      </c>
    </row>
    <row r="205">
      <c r="A205" s="441" t="n">
        <v>46269</v>
      </c>
      <c r="B205" s="42" t="inlineStr">
        <is>
          <t>早餐</t>
        </is>
      </c>
      <c r="C205" s="36" t="inlineStr">
        <is>
          <t>使用者回報＋沿用前一日同品項設定</t>
        </is>
      </c>
      <c r="D205" s="45" t="inlineStr">
        <is>
          <t>7-ELEVEN 21Plus 剝皮辣椒雞胸肉 1 包（145g）</t>
        </is>
      </c>
      <c r="E205" s="45" t="n">
        <v>30</v>
      </c>
      <c r="F205" s="45" t="n">
        <v>163</v>
      </c>
      <c r="G205" s="45" t="inlineStr">
        <is>
          <t>使用者回報早餐吃 7-ELEVEN 剝皮辣椒雞胸肉；沿用 2026-09-03 同品項設定：21Plus 剝皮辣椒雞胸肉 145g，約 163 kcal，蛋白質先估 30g。官方頁面未提供可靠完整碳水標示，因此碳水留白不猜。</t>
        </is>
      </c>
      <c r="H205" s="45" t="inlineStr"/>
    </row>
    <row r="206">
      <c r="A206" s="441" t="n">
        <v>46269</v>
      </c>
      <c r="B206" s="42" t="inlineStr">
        <is>
          <t>午餐</t>
        </is>
      </c>
      <c r="C206" s="36" t="inlineStr">
        <is>
          <t>使用者回報</t>
        </is>
      </c>
      <c r="D206" s="45" t="inlineStr">
        <is>
          <t>蛋白飲（蛋白質 52g）</t>
        </is>
      </c>
      <c r="E206" s="45" t="n">
        <v>52</v>
      </c>
      <c r="F206" s="45" t="inlineStr"/>
      <c r="G206" s="45" t="inlineStr">
        <is>
          <t>使用者回報中午喝了含蛋白質 52g 的飲品；未提供品牌、粉量、碳水或熱量標示，因此僅記錄蛋白質 52g，其餘不猜。</t>
        </is>
      </c>
      <c r="H206" s="45" t="inlineStr"/>
    </row>
    <row r="207">
      <c r="A207" s="441" t="n">
        <v>46269</v>
      </c>
      <c r="B207" s="42" t="inlineStr">
        <is>
          <t>晚餐</t>
        </is>
      </c>
      <c r="C207" s="36" t="inlineStr">
        <is>
          <t>使用者回報</t>
        </is>
      </c>
      <c r="D207" s="45" t="inlineStr">
        <is>
          <t>原味拉麵</t>
        </is>
      </c>
      <c r="E207" s="45" t="n">
        <v>30</v>
      </c>
      <c r="F207" s="45" t="n">
        <v>750</v>
      </c>
      <c r="G207" s="45" t="inlineStr">
        <is>
          <t>使用者回報晚餐吃原味拉麵；未提供店家、份量、配料或營養標示，因此蛋白質、碳水與熱量留白不猜。 使用者補充有叉燒肉 4 片。依一般拉麵店常見份量透明估算整碗約蛋白質 30g、碳水 70g、750 kcal；主要誤差來自叉燒肥瘦、麵量與湯底油脂，熱量估計誤差約 ±150–200 kcal。</t>
        </is>
      </c>
      <c r="H207" s="45" t="n">
        <v>70</v>
      </c>
    </row>
    <row r="208">
      <c r="A208" s="441" t="n">
        <v>46269</v>
      </c>
      <c r="B208" s="42" t="inlineStr">
        <is>
          <t>晚餐</t>
        </is>
      </c>
      <c r="C208" s="36" t="inlineStr">
        <is>
          <t>使用者回報</t>
        </is>
      </c>
      <c r="D208" s="45" t="inlineStr">
        <is>
          <t>額外蛋白質 26g</t>
        </is>
      </c>
      <c r="E208" s="45" t="n">
        <v>26</v>
      </c>
      <c r="F208" s="45" t="inlineStr"/>
      <c r="G208" s="45" t="inlineStr">
        <is>
          <t>使用者補充晚餐另外攝取蛋白質 26g；來源、熱量與碳水未提供，因此僅記錄蛋白質 26g，其餘不猜。</t>
        </is>
      </c>
      <c r="H208" s="45" t="inlineStr"/>
    </row>
    <row r="209">
      <c r="A209" s="441" t="n">
        <v>46270</v>
      </c>
      <c r="B209" s="42" t="inlineStr">
        <is>
          <t>早餐</t>
        </is>
      </c>
      <c r="C209" s="36" t="inlineStr">
        <is>
          <t>使用者回報</t>
        </is>
      </c>
      <c r="D209" s="45" t="inlineStr">
        <is>
          <t>早餐蛋白質 52g</t>
        </is>
      </c>
      <c r="E209" s="45" t="n">
        <v>52</v>
      </c>
      <c r="F209" s="45" t="inlineStr"/>
      <c r="G209" s="45" t="inlineStr">
        <is>
          <t>使用者回報早上攝取蛋白質 52g；未提供食物來源、品牌、熱量或碳水，因此僅記錄蛋白質 52g，其餘不猜。</t>
        </is>
      </c>
      <c r="H209" s="45" t="inlineStr"/>
    </row>
    <row r="210">
      <c r="A210" s="441" t="n">
        <v>46270</v>
      </c>
      <c r="B210" s="42" t="inlineStr">
        <is>
          <t>晚餐</t>
        </is>
      </c>
      <c r="C210" s="36" t="inlineStr">
        <is>
          <t>使用者回報＋既有雞蛋估算</t>
        </is>
      </c>
      <c r="D210" s="45" t="inlineStr">
        <is>
          <t>茶葉蛋 2 顆</t>
        </is>
      </c>
      <c r="E210" s="45" t="n">
        <v>10.8</v>
      </c>
      <c r="F210" s="45" t="n">
        <v>106</v>
      </c>
      <c r="G210" s="45" t="inlineStr">
        <is>
          <t>沿用追蹤表既有7-ELEVEN雞蛋估算：每顆約蛋白質5.4g、碳水1.4g、53 kcal。</t>
        </is>
      </c>
      <c r="H210" s="45" t="n">
        <v>2.8</v>
      </c>
    </row>
    <row r="211">
      <c r="A211" s="441" t="n">
        <v>46270</v>
      </c>
      <c r="B211" s="42" t="inlineStr">
        <is>
          <t>晚餐</t>
        </is>
      </c>
      <c r="C211" s="36" t="inlineStr">
        <is>
          <t>使用者回報＋一般中型香蕉估算</t>
        </is>
      </c>
      <c r="D211" s="45" t="inlineStr">
        <is>
          <t>香蕉 1 根</t>
        </is>
      </c>
      <c r="E211" s="45" t="n">
        <v>1.3</v>
      </c>
      <c r="F211" s="45" t="n">
        <v>105</v>
      </c>
      <c r="G211" s="45" t="inlineStr">
        <is>
          <t>未提供重量，沿用一般中型香蕉透明估算：約蛋白質1.3g、碳水27g、105 kcal。</t>
        </is>
      </c>
      <c r="H211" s="45" t="n">
        <v>27</v>
      </c>
    </row>
    <row r="212">
      <c r="A212" s="441" t="n">
        <v>46270</v>
      </c>
      <c r="B212" s="42" t="inlineStr">
        <is>
          <t>晚餐</t>
        </is>
      </c>
      <c r="C212" s="36" t="inlineStr">
        <is>
          <t>使用者回報</t>
        </is>
      </c>
      <c r="D212" s="45" t="inlineStr">
        <is>
          <t>乳清 2 包（每包蛋白質 26g）</t>
        </is>
      </c>
      <c r="E212" s="45" t="n">
        <v>52</v>
      </c>
      <c r="F212" s="45" t="inlineStr"/>
      <c r="G212" s="45" t="inlineStr">
        <is>
          <t>兩包乳清，每包提供蛋白質26g，合計蛋白質52g；未提供熱量與碳水標示，因此其餘不猜。</t>
        </is>
      </c>
      <c r="H212" s="45" t="inlineStr"/>
    </row>
    <row r="213">
      <c r="A213" s="441" t="n">
        <v>46270</v>
      </c>
      <c r="B213" s="42" t="inlineStr">
        <is>
          <t>晚餐</t>
        </is>
      </c>
      <c r="C213" s="36" t="inlineStr">
        <is>
          <t>使用者回報＋使用者提供品名</t>
        </is>
      </c>
      <c r="D213" s="45" t="inlineStr">
        <is>
          <t>7-ELEVEN 塔香香鬆素飯糰 1 個</t>
        </is>
      </c>
      <c r="E213" s="45" t="inlineStr"/>
      <c r="F213" s="45" t="inlineStr"/>
      <c r="G213" s="45" t="inlineStr">
        <is>
          <t>使用者確認正式品名為7-ELEVEN塔香香鬆素飯糰；目前沒有可靠完整營養標示，因此蛋白質、碳水與熱量暫留空白。</t>
        </is>
      </c>
      <c r="H213" s="45" t="inlineStr"/>
    </row>
    <row r="214">
      <c r="A214" s="441" t="n">
        <v>46271</v>
      </c>
      <c r="B214" s="42" t="inlineStr">
        <is>
          <t>早餐</t>
        </is>
      </c>
      <c r="C214" s="36" t="inlineStr">
        <is>
          <t>使用者回報＋份量估算</t>
        </is>
      </c>
      <c r="D214" s="45" t="inlineStr">
        <is>
          <t>繼光香香雞 1 份</t>
        </is>
      </c>
      <c r="E214" s="45" t="n">
        <v>47</v>
      </c>
      <c r="F214" s="45" t="n">
        <v>520</v>
      </c>
      <c r="G214" s="45" t="inlineStr">
        <is>
          <t>使用者回報早餐吃 1 份繼光香香雞；以一般單份份量透明估算約蛋白質 47g、520 kcal。</t>
        </is>
      </c>
      <c r="H214" s="45" t="inlineStr"/>
    </row>
    <row r="215">
      <c r="A215" s="441" t="n">
        <v>46271</v>
      </c>
      <c r="B215" s="42" t="inlineStr">
        <is>
          <t>晚餐</t>
        </is>
      </c>
      <c r="C215" s="36" t="inlineStr">
        <is>
          <t>使用者回報＋照片估算</t>
        </is>
      </c>
      <c r="D215" s="45" t="inlineStr">
        <is>
          <t>築間火鍋：大份板腱牛 1 份＋高麗菜 3 份</t>
        </is>
      </c>
      <c r="E215" s="45" t="n">
        <v>56</v>
      </c>
      <c r="F215" s="45" t="n">
        <v>575</v>
      </c>
      <c r="G215" s="45" t="inlineStr">
        <is>
          <t>使用者回報晚餐為大份板腱牛與高麗菜 3 份；依照片估算板腱牛約 52g 蛋白質、500 kcal，高麗菜 3 份約 4g 蛋白質、75 kcal。未計入照片中未明確回報食用的其他肉盤、醬料與湯底。</t>
        </is>
      </c>
      <c r="H215" s="45" t="inlineStr"/>
    </row>
    <row r="216">
      <c r="A216" s="441" t="n">
        <v>46271</v>
      </c>
      <c r="B216" s="42" t="inlineStr">
        <is>
          <t>晚餐</t>
        </is>
      </c>
      <c r="C216" s="36" t="inlineStr">
        <is>
          <t>使用者回報</t>
        </is>
      </c>
      <c r="D216" s="45" t="inlineStr">
        <is>
          <t>晚間額外蛋白質 56g</t>
        </is>
      </c>
      <c r="E216" s="45" t="n">
        <v>56</v>
      </c>
      <c r="F216" s="45" t="inlineStr"/>
      <c r="G216" s="45" t="inlineStr">
        <is>
          <t>使用者回報晚間另外喝了蛋白質 56g；未提供品牌、來源、熱量或碳水，因此僅記錄蛋白質 56g，其餘不猜。</t>
        </is>
      </c>
      <c r="H216" s="45" t="inlineStr"/>
    </row>
    <row r="217">
      <c r="A217" s="441" t="n">
        <v>46272</v>
      </c>
      <c r="B217" s="42" t="inlineStr">
        <is>
          <t>早餐</t>
        </is>
      </c>
      <c r="C217" s="36" t="inlineStr">
        <is>
          <t>使用者回報＋7-ELEVEN公開資料與第三方價位重量估算</t>
        </is>
      </c>
      <c r="D217" s="45" t="inlineStr">
        <is>
          <t>7-ELEVEN 30元地瓜</t>
        </is>
      </c>
      <c r="E217" s="45" t="n">
        <v>2.3</v>
      </c>
      <c r="F217" s="45" t="n">
        <v>162</v>
      </c>
      <c r="G217" s="45" t="inlineStr">
        <is>
          <t>7-ELEVEN官方標示現蒸地瓜25–40元依重量計價，未公開各價位固定重量；第三方2026消費者整理估30元約120–170g，本次取中間值145g。參考7-ELEVEN台農57號地瓜商品120g營養標示，換算145g約162 kcal、蛋白質2.3g、碳水37.7g。</t>
        </is>
      </c>
      <c r="H217" s="45" t="n">
        <v>37.7</v>
      </c>
    </row>
    <row r="218">
      <c r="A218" s="441" t="n">
        <v>46272</v>
      </c>
      <c r="B218" s="42" t="inlineStr">
        <is>
          <t>早餐</t>
        </is>
      </c>
      <c r="C218" s="36" t="inlineStr">
        <is>
          <t>使用者回報＋既有同款紀錄</t>
        </is>
      </c>
      <c r="D218" s="45" t="inlineStr">
        <is>
          <t>7-ELEVEN 21Plus 剝皮辣椒雞胸肉 1 包（145g）</t>
        </is>
      </c>
      <c r="E218" s="45" t="n">
        <v>30</v>
      </c>
      <c r="F218" s="45" t="n">
        <v>163</v>
      </c>
      <c r="G218" s="45" t="inlineStr">
        <is>
          <t>沿用追蹤表先前同款紀錄：約蛋白質30g、163 kcal；未取得可靠碳水標示，因此碳水留白。</t>
        </is>
      </c>
      <c r="H218" s="45" t="inlineStr"/>
    </row>
    <row r="219">
      <c r="A219" s="441" t="n">
        <v>46272</v>
      </c>
      <c r="B219" s="42" t="inlineStr">
        <is>
          <t>晚餐</t>
        </is>
      </c>
      <c r="C219" s="36" t="inlineStr">
        <is>
          <t>使用者回報＋一般便當份量透明估算</t>
        </is>
      </c>
      <c r="D219" s="45" t="inlineStr">
        <is>
          <t>腿庫肉 1 份</t>
        </is>
      </c>
      <c r="E219" s="45" t="n">
        <v>28</v>
      </c>
      <c r="F219" s="45" t="n">
        <v>400</v>
      </c>
      <c r="G219" s="45" t="inlineStr">
        <is>
          <t>使用者回報腿庫便當；未提供重量，先以一般便當腿庫肉份量估算約蛋白質28g、400 kcal，實際依肥瘦與帶皮比例可能有明顯差異。</t>
        </is>
      </c>
      <c r="H219" s="45" t="inlineStr"/>
    </row>
    <row r="220">
      <c r="A220" s="441" t="n">
        <v>46272</v>
      </c>
      <c r="B220" s="42" t="inlineStr">
        <is>
          <t>晚餐</t>
        </is>
      </c>
      <c r="C220" s="36" t="inlineStr">
        <is>
          <t>使用者回報＋一般便當份量透明估算</t>
        </is>
      </c>
      <c r="D220" s="45" t="inlineStr">
        <is>
          <t>白飯 1 份</t>
        </is>
      </c>
      <c r="E220" s="45" t="n">
        <v>5</v>
      </c>
      <c r="F220" s="45" t="n">
        <v>280</v>
      </c>
      <c r="G220" s="45" t="inlineStr">
        <is>
          <t>未提供飯量，先以一般便當白飯份量估算約蛋白質5g、碳水60g、280 kcal。</t>
        </is>
      </c>
      <c r="H220" s="45" t="n">
        <v>60</v>
      </c>
    </row>
    <row r="221">
      <c r="A221" s="441" t="n">
        <v>46272</v>
      </c>
      <c r="B221" s="42" t="inlineStr">
        <is>
          <t>晚餐</t>
        </is>
      </c>
      <c r="C221" s="36" t="inlineStr">
        <is>
          <t>使用者回報＋一般便當配菜透明估算</t>
        </is>
      </c>
      <c r="D221" s="45" t="inlineStr">
        <is>
          <t>便當配菜 2 份</t>
        </is>
      </c>
      <c r="E221" s="45" t="n">
        <v>4</v>
      </c>
      <c r="F221" s="45" t="n">
        <v>120</v>
      </c>
      <c r="G221" s="45" t="inlineStr">
        <is>
          <t>使用者回報兩樣菜，未提供菜色與份量，先以一般便當兩份配菜估算約蛋白質4g、碳水15g、120 kcal。</t>
        </is>
      </c>
      <c r="H221" s="45" t="n">
        <v>15</v>
      </c>
    </row>
    <row r="222">
      <c r="A222" s="441" t="n">
        <v>46272</v>
      </c>
      <c r="B222" s="42" t="inlineStr">
        <is>
          <t>晚餐</t>
        </is>
      </c>
      <c r="C222" s="36" t="inlineStr">
        <is>
          <t>使用者回報＋一般雞蛋透明估算</t>
        </is>
      </c>
      <c r="D222" s="45" t="inlineStr">
        <is>
          <t>蛋 1 顆</t>
        </is>
      </c>
      <c r="E222" s="45" t="n">
        <v>6.5</v>
      </c>
      <c r="F222" s="45" t="n">
        <v>75</v>
      </c>
      <c r="G222" s="45" t="inlineStr">
        <is>
          <t>未提供烹調方式，先以一般雞蛋1顆估算約蛋白質6.5g、碳水1g、75 kcal。</t>
        </is>
      </c>
      <c r="H222" s="45" t="n">
        <v>1</v>
      </c>
    </row>
    <row r="223">
      <c r="A223" s="441" t="n">
        <v>46272</v>
      </c>
      <c r="B223" s="42" t="inlineStr">
        <is>
          <t>午餐</t>
        </is>
      </c>
      <c r="C223" s="36" t="inlineStr">
        <is>
          <t>使用者回報</t>
        </is>
      </c>
      <c r="D223" s="45" t="inlineStr">
        <is>
          <t>未進食</t>
        </is>
      </c>
      <c r="E223" s="45" t="n">
        <v>0</v>
      </c>
      <c r="F223" s="45" t="n">
        <v>0</v>
      </c>
      <c r="G223" s="45" t="inlineStr">
        <is>
          <t>使用者回報午餐沒吃。</t>
        </is>
      </c>
      <c r="H223" s="45" t="n">
        <v>0</v>
      </c>
    </row>
    <row r="224">
      <c r="A224" s="441" t="n">
        <v>46273</v>
      </c>
      <c r="B224" s="42" t="inlineStr">
        <is>
          <t>早餐</t>
        </is>
      </c>
      <c r="C224" s="36" t="inlineStr">
        <is>
          <t>使用者回報＋既有估算</t>
        </is>
      </c>
      <c r="D224" s="45" t="inlineStr">
        <is>
          <t>7-ELEVEN 30元地瓜</t>
        </is>
      </c>
      <c r="E224" s="45" t="n">
        <v>2.3</v>
      </c>
      <c r="F224" s="45" t="n">
        <v>162</v>
      </c>
      <c r="G224" s="45" t="inlineStr">
        <is>
          <t>沿用 2026-09-07 同款 7-ELEVEN 30元地瓜估算：以約145g計，約蛋白質2.3g、碳水37.7g、162 kcal。</t>
        </is>
      </c>
      <c r="H224" s="45" t="n">
        <v>37.7</v>
      </c>
    </row>
    <row r="225">
      <c r="A225" s="441" t="n">
        <v>46273</v>
      </c>
      <c r="B225" s="42" t="inlineStr">
        <is>
          <t>早餐</t>
        </is>
      </c>
      <c r="C225" s="36" t="inlineStr">
        <is>
          <t>使用者回報＋既有同款紀錄</t>
        </is>
      </c>
      <c r="D225" s="45" t="inlineStr">
        <is>
          <t>7-ELEVEN 21Plus 剝皮辣椒雞胸肉 1 包（145g）</t>
        </is>
      </c>
      <c r="E225" s="45" t="n">
        <v>30</v>
      </c>
      <c r="F225" s="45" t="n">
        <v>163</v>
      </c>
      <c r="G225" s="45" t="inlineStr">
        <is>
          <t>沿用追蹤表先前同款紀錄：約蛋白質30g、163 kcal；未取得可靠碳水標示，因此碳水留白。</t>
        </is>
      </c>
      <c r="H225" s="45" t="inlineStr"/>
    </row>
    <row r="226">
      <c r="A226" s="441" t="n">
        <v>46273</v>
      </c>
      <c r="B226" s="42" t="inlineStr">
        <is>
          <t>早餐</t>
        </is>
      </c>
      <c r="C226" s="36" t="inlineStr">
        <is>
          <t>使用者回報</t>
        </is>
      </c>
      <c r="D226" s="45" t="inlineStr">
        <is>
          <t>額外蛋白質 26g</t>
        </is>
      </c>
      <c r="E226" s="45" t="n">
        <v>26</v>
      </c>
      <c r="F226" s="45" t="inlineStr"/>
      <c r="G226" s="45" t="inlineStr">
        <is>
          <t>使用者回報早餐另外攝取26g蛋白質；未提供來源、品牌、熱量或碳水，因此僅記錄蛋白質。</t>
        </is>
      </c>
      <c r="H226" s="45" t="inlineStr"/>
    </row>
    <row r="227">
      <c r="A227" s="441" t="n">
        <v>46273</v>
      </c>
      <c r="B227" s="42" t="inlineStr">
        <is>
          <t>午餐</t>
        </is>
      </c>
      <c r="C227" s="36" t="inlineStr">
        <is>
          <t>使用者回報</t>
        </is>
      </c>
      <c r="D227" s="45" t="inlineStr">
        <is>
          <t>蛋白飲／額外蛋白質 26g</t>
        </is>
      </c>
      <c r="E227" s="45" t="n">
        <v>26</v>
      </c>
      <c r="F227" s="45" t="inlineStr"/>
      <c r="G227" s="45" t="inlineStr">
        <is>
          <t>使用者回報午餐喝了26g蛋白質；未提供品牌、來源、熱量或碳水，因此僅記錄蛋白質。</t>
        </is>
      </c>
      <c r="H227" s="45" t="inlineStr"/>
    </row>
    <row r="228">
      <c r="A228" s="441" t="n">
        <v>46273</v>
      </c>
      <c r="B228" s="42" t="inlineStr">
        <is>
          <t>晚餐</t>
        </is>
      </c>
      <c r="C228" s="36" t="inlineStr">
        <is>
          <t>使用者回報＋一般台式份量透明估算</t>
        </is>
      </c>
      <c r="D228" s="45" t="inlineStr">
        <is>
          <t>雞肉飯 1 碗</t>
        </is>
      </c>
      <c r="E228" s="45" t="n">
        <v>25</v>
      </c>
      <c r="F228" s="45" t="n">
        <v>500</v>
      </c>
      <c r="G228" s="45" t="inlineStr">
        <is>
          <t>未提供店家與重量，先以一般台式雞肉飯1碗估算約蛋白質25g、碳水65g、500 kcal；實際會依飯量、雞肉量與雞油明顯變動。</t>
        </is>
      </c>
      <c r="H228" s="45" t="n">
        <v>65</v>
      </c>
    </row>
    <row r="229">
      <c r="A229" s="441" t="n">
        <v>46273</v>
      </c>
      <c r="B229" s="42" t="inlineStr">
        <is>
          <t>晚餐</t>
        </is>
      </c>
      <c r="C229" s="36" t="inlineStr">
        <is>
          <t>使用者回報＋一般台式份量透明估算</t>
        </is>
      </c>
      <c r="D229" s="45" t="inlineStr">
        <is>
          <t>豬肝湯 1 碗</t>
        </is>
      </c>
      <c r="E229" s="45" t="n">
        <v>24</v>
      </c>
      <c r="F229" s="45" t="n">
        <v>180</v>
      </c>
      <c r="G229" s="45" t="inlineStr">
        <is>
          <t>未提供店家與豬肝重量，先以一般台式豬肝湯1碗估算約蛋白質24g、碳水4g、180 kcal；實際依豬肝份量與湯底而變動。</t>
        </is>
      </c>
      <c r="H229" s="45" t="n">
        <v>4</v>
      </c>
    </row>
    <row r="230">
      <c r="A230" s="441" t="n">
        <v>46274</v>
      </c>
      <c r="B230" s="42" t="inlineStr">
        <is>
          <t>早餐</t>
        </is>
      </c>
      <c r="C230" s="36" t="inlineStr">
        <is>
          <t>使用者回報＋既有估算</t>
        </is>
      </c>
      <c r="D230" s="45" t="inlineStr">
        <is>
          <t>7-ELEVEN 30元地瓜</t>
        </is>
      </c>
      <c r="E230" s="45" t="n">
        <v>2.3</v>
      </c>
      <c r="F230" s="45" t="n">
        <v>162</v>
      </c>
      <c r="G230" s="45" t="inlineStr">
        <is>
          <t>沿用 2026-09-07 同款 7-ELEVEN 30元地瓜估算：以約145g計，約蛋白質2.3g、碳水37.7g、162 kcal。</t>
        </is>
      </c>
      <c r="H230" s="45" t="n">
        <v>37.7</v>
      </c>
    </row>
    <row r="231">
      <c r="A231" s="441" t="n">
        <v>46274</v>
      </c>
      <c r="B231" s="42" t="inlineStr">
        <is>
          <t>早餐</t>
        </is>
      </c>
      <c r="C231" s="36" t="inlineStr">
        <is>
          <t>使用者回報＋既有同款紀錄</t>
        </is>
      </c>
      <c r="D231" s="45" t="inlineStr">
        <is>
          <t>7-ELEVEN 21Plus 剝皮辣椒雞胸肉 1 包（145g）</t>
        </is>
      </c>
      <c r="E231" s="45" t="n">
        <v>30</v>
      </c>
      <c r="F231" s="45" t="n">
        <v>163</v>
      </c>
      <c r="G231" s="45" t="inlineStr">
        <is>
          <t>沿用追蹤表先前同款紀錄：約蛋白質30g、163 kcal；未取得可靠碳水標示，因此碳水留白。</t>
        </is>
      </c>
      <c r="H231" s="45" t="inlineStr"/>
    </row>
    <row r="232">
      <c r="A232" s="441" t="n">
        <v>46274</v>
      </c>
      <c r="B232" s="42" t="inlineStr">
        <is>
          <t>晚餐</t>
        </is>
      </c>
      <c r="C232" s="36" t="inlineStr">
        <is>
          <t>使用者回報＋一般台式份量透明估算</t>
        </is>
      </c>
      <c r="D232" s="45" t="inlineStr">
        <is>
          <t>牛雜湯 1 碗</t>
        </is>
      </c>
      <c r="E232" s="45" t="n">
        <v>28</v>
      </c>
      <c r="F232" s="45" t="n">
        <v>250</v>
      </c>
      <c r="G232" s="45" t="inlineStr">
        <is>
          <t>未提供店家、牛雜種類與重量，先以一般台式牛雜湯1碗估算約蛋白質28g、碳水5g、250 kcal；實際依牛雜部位、油脂與湯底而變動。</t>
        </is>
      </c>
      <c r="H232" s="45" t="n">
        <v>5</v>
      </c>
    </row>
    <row r="233">
      <c r="A233" s="441" t="n">
        <v>46275</v>
      </c>
      <c r="B233" s="42" t="inlineStr">
        <is>
          <t>早餐</t>
        </is>
      </c>
      <c r="C233" s="36" t="inlineStr">
        <is>
          <t>使用者回報＋既有估算</t>
        </is>
      </c>
      <c r="D233" s="45" t="inlineStr">
        <is>
          <t>7-ELEVEN 30元地瓜</t>
        </is>
      </c>
      <c r="E233" s="45" t="n">
        <v>2.3</v>
      </c>
      <c r="F233" s="45" t="n">
        <v>162</v>
      </c>
      <c r="G233" s="45" t="inlineStr">
        <is>
          <t>沿用先前同款7-ELEVEN 30元地瓜估算：以約145g計，約蛋白質2.3g、碳水37.7g、162 kcal。</t>
        </is>
      </c>
      <c r="H233" s="45" t="n">
        <v>37.7</v>
      </c>
    </row>
    <row r="234">
      <c r="A234" s="441" t="n">
        <v>46275</v>
      </c>
      <c r="B234" s="42" t="inlineStr">
        <is>
          <t>早餐</t>
        </is>
      </c>
      <c r="C234" s="36" t="inlineStr">
        <is>
          <t>使用者回報＋既有同款紀錄</t>
        </is>
      </c>
      <c r="D234" s="45" t="inlineStr">
        <is>
          <t>7-ELEVEN 21Plus 剝皮辣椒雞胸肉 1 包（145g）</t>
        </is>
      </c>
      <c r="E234" s="45" t="n">
        <v>30</v>
      </c>
      <c r="F234" s="45" t="n">
        <v>163</v>
      </c>
      <c r="G234" s="45" t="inlineStr">
        <is>
          <t>沿用追蹤表先前同款紀錄：約蛋白質30g、163 kcal；未取得可靠碳水標示，因此碳水留白。</t>
        </is>
      </c>
      <c r="H234" s="45" t="inlineStr"/>
    </row>
    <row r="235">
      <c r="A235" s="441" t="n">
        <v>46275</v>
      </c>
      <c r="B235" s="42" t="inlineStr">
        <is>
          <t>早餐</t>
        </is>
      </c>
      <c r="C235" s="36" t="inlineStr">
        <is>
          <t>使用者回報</t>
        </is>
      </c>
      <c r="D235" s="45" t="inlineStr">
        <is>
          <t>乳清蛋白 26g蛋白質</t>
        </is>
      </c>
      <c r="E235" s="45" t="n">
        <v>26</v>
      </c>
      <c r="F235" s="45" t="inlineStr"/>
      <c r="G235" s="45" t="inlineStr">
        <is>
          <t>使用者回報早餐另攝取乳清，提供蛋白質26g；未提供品牌、熱量或碳水，因此僅記錄蛋白質。</t>
        </is>
      </c>
      <c r="H235" s="45" t="inlineStr"/>
    </row>
    <row r="236">
      <c r="A236" s="441" t="n">
        <v>46275</v>
      </c>
      <c r="B236" s="42" t="inlineStr">
        <is>
          <t>晚餐</t>
        </is>
      </c>
      <c r="C236" s="36" t="inlineStr">
        <is>
          <t>使用者回報＋一般份量透明估算</t>
        </is>
      </c>
      <c r="D236" s="45" t="inlineStr">
        <is>
          <t>芭樂 1 顆</t>
        </is>
      </c>
      <c r="E236" s="45" t="n">
        <v>2.5</v>
      </c>
      <c r="F236" s="45" t="n">
        <v>120</v>
      </c>
      <c r="G236" s="45" t="inlineStr">
        <is>
          <t>使用者回報晚餐吃一顆芭樂；未提供重量，先以一般中型芭樂估算約蛋白質2.5g、碳水25g、120 kcal，實際依大小而變動。</t>
        </is>
      </c>
      <c r="H236" s="45" t="n">
        <v>25</v>
      </c>
    </row>
    <row r="237">
      <c r="A237" s="441" t="n">
        <v>46275</v>
      </c>
      <c r="B237" s="42" t="inlineStr">
        <is>
          <t>晚餐</t>
        </is>
      </c>
      <c r="C237" s="36" t="inlineStr">
        <is>
          <t>使用者回報＋一般便當份量透明估算</t>
        </is>
      </c>
      <c r="D237" s="45" t="inlineStr">
        <is>
          <t>獅子頭雞肉飯 1 份</t>
        </is>
      </c>
      <c r="E237" s="45" t="n">
        <v>35</v>
      </c>
      <c r="F237" s="45" t="n">
        <v>750</v>
      </c>
      <c r="G237" s="45" t="inlineStr">
        <is>
          <t>使用者回報獅子頭雞肉飯；未提供店家、份量或配菜內容，先以一般一份主食估算約蛋白質35g、碳水70g、750 kcal，實際依獅子頭大小、雞肉量、飯量與醬汁而變動。</t>
        </is>
      </c>
      <c r="H237" s="45" t="n">
        <v>70</v>
      </c>
    </row>
    <row r="238">
      <c r="A238" s="441" t="n">
        <v>46276</v>
      </c>
      <c r="B238" s="42" t="inlineStr">
        <is>
          <t>早餐</t>
        </is>
      </c>
      <c r="C238" s="36" t="inlineStr">
        <is>
          <t>使用者回報＋既有估算</t>
        </is>
      </c>
      <c r="D238" s="45" t="inlineStr">
        <is>
          <t>7-ELEVEN 30元地瓜</t>
        </is>
      </c>
      <c r="E238" s="45" t="n">
        <v>2.3</v>
      </c>
      <c r="F238" s="45" t="n">
        <v>162</v>
      </c>
      <c r="G238" s="45" t="inlineStr">
        <is>
          <t>沿用先前同款7-ELEVEN 30元地瓜估算：以約145g計，約蛋白質2.3g、碳水37.7g、162 kcal。</t>
        </is>
      </c>
      <c r="H238" s="45" t="n">
        <v>37.7</v>
      </c>
    </row>
    <row r="239">
      <c r="A239" s="441" t="n">
        <v>46276</v>
      </c>
      <c r="B239" s="42" t="inlineStr">
        <is>
          <t>早餐</t>
        </is>
      </c>
      <c r="C239" s="36" t="inlineStr">
        <is>
          <t>使用者回報＋既有同款紀錄</t>
        </is>
      </c>
      <c r="D239" s="45" t="inlineStr">
        <is>
          <t>7-ELEVEN 21Plus 剝皮辣椒雞胸肉 1 包（145g）</t>
        </is>
      </c>
      <c r="E239" s="45" t="n">
        <v>30</v>
      </c>
      <c r="F239" s="45" t="n">
        <v>163</v>
      </c>
      <c r="G239" s="45" t="inlineStr">
        <is>
          <t>沿用追蹤表先前同款紀錄：約蛋白質30g、163 kcal；未取得可靠碳水標示，因此碳水留白。</t>
        </is>
      </c>
      <c r="H239" s="45" t="inlineStr"/>
    </row>
    <row r="240">
      <c r="A240" s="441" t="n">
        <v>46276</v>
      </c>
      <c r="B240" s="42" t="inlineStr">
        <is>
          <t>午餐</t>
        </is>
      </c>
      <c r="C240" s="36" t="inlineStr">
        <is>
          <t>使用者回報</t>
        </is>
      </c>
      <c r="D240" s="45" t="inlineStr">
        <is>
          <t>蛋白飲／額外蛋白質 52g</t>
        </is>
      </c>
      <c r="E240" s="45" t="n">
        <v>52</v>
      </c>
      <c r="F240" s="45" t="inlineStr"/>
      <c r="G240" s="45" t="inlineStr">
        <is>
          <t>使用者回報午餐喝了52g蛋白質；未提供品牌、熱量或碳水，因此僅記錄蛋白質。</t>
        </is>
      </c>
      <c r="H240" s="45" t="inlineStr"/>
    </row>
    <row r="241">
      <c r="A241" s="441" t="n">
        <v>46276</v>
      </c>
      <c r="B241" s="42" t="inlineStr">
        <is>
          <t>晚餐</t>
        </is>
      </c>
      <c r="C241" s="36" t="inlineStr">
        <is>
          <t>使用者回報＋照片份量透明估算</t>
        </is>
      </c>
      <c r="D241" s="45" t="inlineStr">
        <is>
          <t>鹽水雞：雞胸肉 1 份</t>
        </is>
      </c>
      <c r="E241" s="45" t="n">
        <v>31</v>
      </c>
      <c r="F241" s="45" t="n">
        <v>170</v>
      </c>
      <c r="G241" s="45" t="inlineStr">
        <is>
          <t>照片可見多塊雞胸肉，估約100g熟重，約蛋白質31g、170 kcal；實際依份量與拌油而變動。</t>
        </is>
      </c>
      <c r="H241" s="45" t="inlineStr"/>
    </row>
    <row r="242">
      <c r="A242" s="441" t="n">
        <v>46276</v>
      </c>
      <c r="B242" s="42" t="inlineStr">
        <is>
          <t>晚餐</t>
        </is>
      </c>
      <c r="C242" s="36" t="inlineStr">
        <is>
          <t>使用者回報＋照片份量透明估算</t>
        </is>
      </c>
      <c r="D242" s="45" t="inlineStr">
        <is>
          <t>鹽水雞：豬耳朵 1 份</t>
        </is>
      </c>
      <c r="E242" s="45" t="n">
        <v>14</v>
      </c>
      <c r="F242" s="45" t="n">
        <v>180</v>
      </c>
      <c r="G242" s="45" t="inlineStr">
        <is>
          <t>照片可見豬耳朵條狀切片，估一般鹽水雞配料1份，約蛋白質14g、180 kcal；實際依肥瘦與份量而變動。</t>
        </is>
      </c>
      <c r="H242" s="45" t="inlineStr"/>
    </row>
    <row r="243">
      <c r="A243" s="441" t="n">
        <v>46276</v>
      </c>
      <c r="B243" s="42" t="inlineStr">
        <is>
          <t>晚餐</t>
        </is>
      </c>
      <c r="C243" s="36" t="inlineStr">
        <is>
          <t>使用者回報＋照片份量透明估算</t>
        </is>
      </c>
      <c r="D243" s="45" t="inlineStr">
        <is>
          <t>鹽水雞：高麗菜 1 份</t>
        </is>
      </c>
      <c r="E243" s="45" t="n">
        <v>2</v>
      </c>
      <c r="F243" s="45" t="n">
        <v>45</v>
      </c>
      <c r="G243" s="45" t="inlineStr">
        <is>
          <t>照片可見高麗菜約1份，估約蛋白質2g、碳水8g、45 kcal；未另加估拌油。</t>
        </is>
      </c>
      <c r="H243" s="45" t="n">
        <v>8</v>
      </c>
    </row>
    <row r="244">
      <c r="A244" s="441" t="n">
        <v>46276</v>
      </c>
      <c r="B244" s="42" t="inlineStr">
        <is>
          <t>晚餐</t>
        </is>
      </c>
      <c r="C244" s="36" t="inlineStr">
        <is>
          <t>使用者回報＋照片份量透明估算</t>
        </is>
      </c>
      <c r="D244" s="45" t="inlineStr">
        <is>
          <t>鹽水雞：豆乾 1 份</t>
        </is>
      </c>
      <c r="E244" s="45" t="n">
        <v>12</v>
      </c>
      <c r="F244" s="45" t="n">
        <v>130</v>
      </c>
      <c r="G244" s="45" t="inlineStr">
        <is>
          <t>照片可見豆乾切塊，估一般1份約蛋白質12g、碳水5g、130 kcal；實際依份量而變動。</t>
        </is>
      </c>
      <c r="H244" s="45" t="n">
        <v>5</v>
      </c>
    </row>
    <row r="245">
      <c r="A245" s="441" t="n">
        <v>46277</v>
      </c>
      <c r="B245" s="42" t="inlineStr">
        <is>
          <t>早餐</t>
        </is>
      </c>
      <c r="C245" s="36" t="inlineStr">
        <is>
          <t>使用者回報＋既有估算</t>
        </is>
      </c>
      <c r="D245" s="45" t="inlineStr">
        <is>
          <t>7-ELEVEN 30元地瓜</t>
        </is>
      </c>
      <c r="E245" s="45" t="n">
        <v>2.3</v>
      </c>
      <c r="F245" s="45" t="n">
        <v>162</v>
      </c>
      <c r="G245" s="45" t="inlineStr">
        <is>
          <t>沿用先前同款 7-ELEVEN 30元地瓜估算：約145g，約蛋白質2.3g、碳水37.7g、162 kcal。</t>
        </is>
      </c>
      <c r="H245" s="45" t="n">
        <v>37.7</v>
      </c>
    </row>
    <row r="246">
      <c r="A246" s="441" t="n">
        <v>46277</v>
      </c>
      <c r="B246" s="42" t="inlineStr">
        <is>
          <t>早餐</t>
        </is>
      </c>
      <c r="C246" s="36" t="inlineStr">
        <is>
          <t>使用者回報＋既有同款紀錄</t>
        </is>
      </c>
      <c r="D246" s="45" t="inlineStr">
        <is>
          <t>7-ELEVEN 21Plus 剝皮辣椒雞胸肉 1 包（145g）</t>
        </is>
      </c>
      <c r="E246" s="45" t="n">
        <v>30</v>
      </c>
      <c r="F246" s="45" t="n">
        <v>163</v>
      </c>
      <c r="G246" s="45" t="inlineStr">
        <is>
          <t>沿用追蹤表先前同款紀錄：約蛋白質30g、163 kcal；未取得可靠碳水標示，因此碳水留白。</t>
        </is>
      </c>
      <c r="H246" s="45" t="inlineStr"/>
    </row>
    <row r="247">
      <c r="A247" s="441" t="n">
        <v>46277</v>
      </c>
      <c r="B247" s="42" t="inlineStr">
        <is>
          <t>早餐</t>
        </is>
      </c>
      <c r="C247" s="36" t="inlineStr">
        <is>
          <t>使用者回報</t>
        </is>
      </c>
      <c r="D247" s="45" t="inlineStr">
        <is>
          <t>乳清蛋白 26g 蛋白質</t>
        </is>
      </c>
      <c r="E247" s="45" t="n">
        <v>26</v>
      </c>
      <c r="F247" s="45" t="inlineStr"/>
      <c r="G247" s="45" t="inlineStr">
        <is>
          <t>使用者回報早餐攝取26g蛋白質乳清；未提供品牌、粉重、熱量或碳水，因此僅記錄蛋白質。</t>
        </is>
      </c>
      <c r="H247" s="45" t="inlineStr"/>
    </row>
    <row r="248">
      <c r="A248" s="441" t="n">
        <v>46277</v>
      </c>
      <c r="B248" s="42" t="inlineStr">
        <is>
          <t>午餐</t>
        </is>
      </c>
      <c r="C248" s="36" t="inlineStr">
        <is>
          <t>使用者回報＋IKEA官方品項確認＋透明估算</t>
        </is>
      </c>
      <c r="D248" s="45" t="inlineStr">
        <is>
          <t>IKEA 瑞典雞肉丸 8 顆 + 馬鈴薯泥</t>
        </is>
      </c>
      <c r="E248" s="45" t="n">
        <v>21</v>
      </c>
      <c r="F248" s="45" t="n">
        <v>430</v>
      </c>
      <c r="G248" s="45" t="inlineStr">
        <is>
          <t>IKEA 台灣官方菜單可確認 8 顆瑞典雞肉丸主餐搭配薯泥；使用者僅明確回報雞肉丸 8 顆與馬鈴薯泥，因此不另計未提及的雙色蔬菜、肉丸奶醬或越橘果醬。未提供實際薯泥重量；雞肉丸參考 HUVUDROLL 公開營養資料並以一般 8 顆餐廳份量估算，整份先記約蛋白質 21g、碳水 35g、430 kcal，實際份量可能有明顯差異。</t>
        </is>
      </c>
      <c r="H248" s="45" t="n">
        <v>35</v>
      </c>
    </row>
    <row r="249">
      <c r="A249" s="441" t="n">
        <v>46277</v>
      </c>
      <c r="B249" s="42" t="inlineStr">
        <is>
          <t>晚餐</t>
        </is>
      </c>
      <c r="C249" s="36" t="inlineStr">
        <is>
          <t>使用者回報＋既有同品項透明估算</t>
        </is>
      </c>
      <c r="D249" s="45" t="inlineStr">
        <is>
          <t>雞肉飯 1 碗</t>
        </is>
      </c>
      <c r="E249" s="45" t="n">
        <v>25</v>
      </c>
      <c r="F249" s="45" t="n">
        <v>500</v>
      </c>
      <c r="G249" s="45" t="inlineStr">
        <is>
          <t>沿用追蹤表 2026-09-08 相同『雞肉飯 1 碗』估算：約蛋白質 25g、碳水 65g、500 kcal；未提供店家與份量，實際依飯量、雞肉量與雞油而變動。</t>
        </is>
      </c>
      <c r="H249" s="45" t="n">
        <v>65</v>
      </c>
    </row>
    <row r="250">
      <c r="A250" s="441" t="n">
        <v>46277</v>
      </c>
      <c r="B250" s="42" t="inlineStr">
        <is>
          <t>晚餐</t>
        </is>
      </c>
      <c r="C250" s="36" t="inlineStr">
        <is>
          <t>使用者回報</t>
        </is>
      </c>
      <c r="D250" s="45" t="inlineStr">
        <is>
          <t>晚間額外蛋白質 52g</t>
        </is>
      </c>
      <c r="E250" s="45" t="n">
        <v>52</v>
      </c>
      <c r="F250" s="45" t="inlineStr"/>
      <c r="G250" s="45" t="inlineStr">
        <is>
          <t>使用者回報 2026-09-12 晚上另外攝取蛋白質 52g；未提供品牌、來源、熱量或碳水，因此僅記錄蛋白質，其餘不猜。</t>
        </is>
      </c>
      <c r="H250" s="45" t="inlineStr"/>
    </row>
    <row r="251">
      <c r="A251" s="441" t="n">
        <v>46278</v>
      </c>
      <c r="B251" s="42" t="inlineStr">
        <is>
          <t>早餐</t>
        </is>
      </c>
      <c r="C251" s="36" t="inlineStr">
        <is>
          <t>使用者回報</t>
        </is>
      </c>
      <c r="D251" s="45" t="inlineStr">
        <is>
          <t>未進食</t>
        </is>
      </c>
      <c r="E251" s="45" t="n">
        <v>0</v>
      </c>
      <c r="F251" s="45" t="n">
        <v>0</v>
      </c>
      <c r="G251" s="45" t="inlineStr">
        <is>
          <t>使用者明確回報早上沒有吃東西。</t>
        </is>
      </c>
      <c r="H251" s="45" t="n">
        <v>0</v>
      </c>
    </row>
    <row r="252">
      <c r="A252" s="441" t="n">
        <v>46278</v>
      </c>
      <c r="B252" s="42" t="inlineStr">
        <is>
          <t>午餐</t>
        </is>
      </c>
      <c r="C252" s="36" t="inlineStr">
        <is>
          <t>使用者回報＋麥當勞台灣現售品項確認＋透明估算</t>
        </is>
      </c>
      <c r="D252" s="45" t="inlineStr">
        <is>
          <t>麥當勞 雙層麥香魚 1 個 + 大薯 1 份</t>
        </is>
      </c>
      <c r="E252" s="45" t="n">
        <v>30.6</v>
      </c>
      <c r="F252" s="45" t="n">
        <v>958</v>
      </c>
      <c r="G252" s="45" t="inlineStr">
        <is>
          <t>麥當勞台灣官網目前可確認雙層麥香魚與大薯為現售品項。雙層麥香魚完整營養數字官網動態頁未直接顯示，本筆沿用公開歷史同品項資料約 485 kcal、蛋白質 23.2g、碳水 43.3g；大薯採近期整理約 473 kcal、蛋白質 7.4g、碳水 63g。合計約 958 kcal、蛋白質 30.6g、碳水 106.3g；實際配方或份量若有更新會有誤差。</t>
        </is>
      </c>
      <c r="H252" s="45" t="n">
        <v>106.3</v>
      </c>
    </row>
    <row r="253">
      <c r="A253" s="441" t="n">
        <v>46278</v>
      </c>
      <c r="B253" s="42" t="inlineStr">
        <is>
          <t>午餐</t>
        </is>
      </c>
      <c r="C253" s="36" t="inlineStr">
        <is>
          <t>使用者回報</t>
        </is>
      </c>
      <c r="D253" s="45" t="inlineStr">
        <is>
          <t>額外蛋白質 52g</t>
        </is>
      </c>
      <c r="E253" s="45" t="n">
        <v>52</v>
      </c>
      <c r="F253" s="45" t="inlineStr"/>
      <c r="G253" s="45" t="inlineStr">
        <is>
          <t>使用者回報午餐另外攝取蛋白質 52g；未提供來源、品牌、熱量或碳水，因此僅記錄蛋白質，其餘不猜。</t>
        </is>
      </c>
      <c r="H253" s="45" t="inlineStr"/>
    </row>
  </sheetData>
  <mergeCells count="2">
    <mergeCell ref="A2:G2"/>
    <mergeCell ref="A1:G1"/>
  </mergeCells>
  <dataValidations count="2">
    <dataValidation sqref="B5:B104" showDropDown="0" showInputMessage="0" showErrorMessage="0" allowBlank="0" type="list">
      <formula1>"早餐,午餐,晚餐,點心,其他"</formula1>
    </dataValidation>
    <dataValidation sqref="F5:F104" showDropDown="0" showInputMessage="0" showErrorMessage="0" allowBlank="0" type="whole" operator="between">
      <formula1>0</formula1>
      <formula2>10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.38000011444092" customWidth="1" min="2" max="2"/>
    <col width="31.25" customWidth="1" min="3" max="3"/>
    <col width="31.25" customWidth="1" min="4" max="4"/>
  </cols>
  <sheetData>
    <row r="1" ht="24" customHeight="1">
      <c r="A1" s="342" t="inlineStr">
        <is>
          <t>營養設定</t>
        </is>
      </c>
    </row>
    <row r="2">
      <c r="A2" s="344" t="inlineStr">
        <is>
          <t>以下為你指定的固定蛋白質估算；未設定食物保持空白，不自行推估。</t>
        </is>
      </c>
    </row>
    <row r="4">
      <c r="A4" s="345" t="inlineStr">
        <is>
          <t>食物</t>
        </is>
      </c>
      <c r="B4" s="345" t="inlineStr">
        <is>
          <t>蛋白質（g）</t>
        </is>
      </c>
      <c r="C4" s="345" t="inlineStr">
        <is>
          <t>熱量（kcal）</t>
        </is>
      </c>
      <c r="D4" s="345" t="inlineStr">
        <is>
          <t>套用說明</t>
        </is>
      </c>
    </row>
    <row r="5">
      <c r="A5" s="282" t="inlineStr">
        <is>
          <t>豆漿</t>
        </is>
      </c>
      <c r="B5" s="442" t="n">
        <v>13</v>
      </c>
      <c r="C5" s="442" t="n">
        <v>144</v>
      </c>
      <c r="D5" s="100" t="inlineStr">
        <is>
          <t>每瓶／份</t>
        </is>
      </c>
    </row>
    <row r="6">
      <c r="A6" s="282" t="inlineStr">
        <is>
          <t>地瓜</t>
        </is>
      </c>
      <c r="B6" s="442" t="n">
        <v>2</v>
      </c>
      <c r="C6" s="442" t="n"/>
      <c r="D6" s="100" t="inlineStr">
        <is>
          <t>每份</t>
        </is>
      </c>
    </row>
    <row r="7">
      <c r="A7" s="282" t="inlineStr">
        <is>
          <t>雞胸肉</t>
        </is>
      </c>
      <c r="B7" s="442" t="n">
        <v>25</v>
      </c>
      <c r="C7" s="442" t="n"/>
      <c r="D7" s="100" t="inlineStr">
        <is>
          <t>每份</t>
        </is>
      </c>
    </row>
    <row r="8">
      <c r="A8" s="282" t="inlineStr">
        <is>
          <t>牛排</t>
        </is>
      </c>
      <c r="B8" s="442" t="n">
        <v>50</v>
      </c>
      <c r="C8" s="442" t="n"/>
      <c r="D8" s="100" t="inlineStr">
        <is>
          <t>每份</t>
        </is>
      </c>
    </row>
    <row r="9">
      <c r="A9" s="282" t="inlineStr">
        <is>
          <t>雞腿排</t>
        </is>
      </c>
      <c r="B9" s="442" t="n">
        <v>45</v>
      </c>
      <c r="C9" s="442" t="n"/>
      <c r="D9" s="100" t="inlineStr">
        <is>
          <t>每份</t>
        </is>
      </c>
    </row>
    <row r="10">
      <c r="A10" s="282" t="inlineStr">
        <is>
          <t>雞排（視為雞腿排）</t>
        </is>
      </c>
      <c r="B10" s="442" t="n">
        <v>45</v>
      </c>
      <c r="C10" s="442" t="n"/>
      <c r="D10" s="100" t="inlineStr">
        <is>
          <t>用於舊紀錄；可依實際品項更正</t>
        </is>
      </c>
    </row>
    <row r="11">
      <c r="A11" s="282" t="inlineStr">
        <is>
          <t>大麥克</t>
        </is>
      </c>
      <c r="B11" s="442" t="n">
        <v>26</v>
      </c>
      <c r="C11" s="442" t="n"/>
      <c r="D11" s="100" t="inlineStr">
        <is>
          <t>每份</t>
        </is>
      </c>
    </row>
    <row r="13">
      <c r="A13" s="244" t="inlineStr">
        <is>
          <t>既有飲食：已設定蛋白質每日小計</t>
        </is>
      </c>
    </row>
    <row r="14">
      <c r="A14" s="301" t="inlineStr">
        <is>
          <t>日期</t>
        </is>
      </c>
      <c r="B14" s="301" t="inlineStr">
        <is>
          <t>蛋白質（g）</t>
        </is>
      </c>
      <c r="C14" s="301" t="inlineStr">
        <is>
          <t>說明</t>
        </is>
      </c>
    </row>
    <row r="15">
      <c r="A15" s="443" t="n">
        <v>46237</v>
      </c>
      <c r="B15" s="444">
        <f>SUMIF('飲食紀錄'!$A$5:$A$94,A15,'飲食紀錄'!$E$5:$E$94)</f>
        <v/>
      </c>
      <c r="C15" s="100" t="inlineStr">
        <is>
          <t>僅合計已設定食物</t>
        </is>
      </c>
    </row>
    <row r="16">
      <c r="A16" s="443" t="n">
        <v>46238</v>
      </c>
      <c r="B16" s="444">
        <f>SUMIF('飲食紀錄'!$A$5:$A$94,A16,'飲食紀錄'!$E$5:$E$94)</f>
        <v/>
      </c>
      <c r="C16" s="100" t="inlineStr">
        <is>
          <t>僅合計已設定食物</t>
        </is>
      </c>
    </row>
    <row r="17">
      <c r="A17" s="443" t="n">
        <v>46239</v>
      </c>
      <c r="B17" s="444">
        <f>SUMIF('飲食紀錄'!$A$5:$A$94,A17,'飲食紀錄'!$E$5:$E$94)</f>
        <v/>
      </c>
      <c r="C17" s="100" t="inlineStr">
        <is>
          <t>僅合計已設定食物</t>
        </is>
      </c>
    </row>
    <row r="18">
      <c r="A18" s="443" t="n">
        <v>46240</v>
      </c>
      <c r="B18" s="100">
        <f>SUMIF('飲食紀錄'!$A$5:$A$94,A18,'飲食紀錄'!$E$5:$E$94)</f>
        <v/>
      </c>
      <c r="C18" s="100" t="inlineStr">
        <is>
          <t>僅合計已設定食物</t>
        </is>
      </c>
    </row>
    <row r="19">
      <c r="A19" s="443" t="n">
        <v>46241</v>
      </c>
      <c r="B19" s="445" t="n">
        <v>102</v>
      </c>
      <c r="C19" s="100" t="inlineStr">
        <is>
          <t>僅合計已設定食物</t>
        </is>
      </c>
    </row>
    <row r="20">
      <c r="A20" s="443" t="n">
        <v>46242</v>
      </c>
      <c r="B20" s="445" t="n">
        <v>172</v>
      </c>
      <c r="C20" s="100" t="inlineStr">
        <is>
          <t>早餐 32g＋午餐 58g＋晚餐 82g；蛋白質合計</t>
        </is>
      </c>
    </row>
  </sheetData>
  <mergeCells count="3">
    <mergeCell ref="A1:D1"/>
    <mergeCell ref="A13:C13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8.75" customWidth="1" min="1" max="1"/>
    <col width="19.3799991607666" customWidth="1" min="2" max="2"/>
    <col width="52.5" customWidth="1" min="3" max="3"/>
    <col width="32.5" customWidth="1" min="4" max="4"/>
  </cols>
  <sheetData>
    <row r="1" ht="24" customHeight="1">
      <c r="A1" s="279" t="inlineStr">
        <is>
          <t>營養估算來源</t>
        </is>
      </c>
    </row>
    <row r="2">
      <c r="A2" s="280" t="inlineStr">
        <is>
          <t>黃色為依餐點或通用份量的估算；綠色為官方、包裝標示或使用者提供數字。</t>
        </is>
      </c>
    </row>
    <row r="4">
      <c r="A4" s="281" t="inlineStr">
        <is>
          <t>日期／餐別</t>
        </is>
      </c>
      <c r="B4" s="281" t="inlineStr">
        <is>
          <t>資料類型</t>
        </is>
      </c>
      <c r="C4" s="281" t="inlineStr">
        <is>
          <t>來源</t>
        </is>
      </c>
      <c r="D4" s="281" t="inlineStr">
        <is>
          <t>用途</t>
        </is>
      </c>
    </row>
    <row r="5" ht="26.39999961853027" customHeight="1">
      <c r="A5" s="283" t="inlineStr">
        <is>
          <t>2026-08-03 早餐</t>
        </is>
      </c>
      <c r="B5" s="100" t="inlineStr">
        <is>
          <t>通用估算</t>
        </is>
      </c>
      <c r="C5" s="269" t="inlineStr">
        <is>
          <t>https://meals.ntu.edu.tw/CampusDining/kcal/breakfast</t>
        </is>
      </c>
      <c r="D5" s="269" t="inlineStr">
        <is>
          <t>培根蛋三明治熱量基準；雞塊按常見一份估算</t>
        </is>
      </c>
    </row>
    <row r="6" ht="26.39999961853027" customHeight="1">
      <c r="A6" s="283" t="inlineStr">
        <is>
          <t>2026-08-03 晚餐</t>
        </is>
      </c>
      <c r="B6" s="100" t="inlineStr">
        <is>
          <t>餐廳菜單＋通用估算</t>
        </is>
      </c>
      <c r="C6" s="269" t="inlineStr">
        <is>
          <t>https://www.ubereats.com/tw/store/%E6%A8%82%E6%99%B4%E7%89%9B%E6%8E%92%E9%A4%A8/ilGt4LRHXgmSOVWjMT71Eg</t>
        </is>
      </c>
      <c r="D6" s="269" t="inlineStr">
        <is>
          <t>樂晴牛排館品項描述；雙排餐份量估算</t>
        </is>
      </c>
    </row>
    <row r="7" ht="15" customHeight="1">
      <c r="A7" s="283" t="inlineStr">
        <is>
          <t>2026-08-04 早餐</t>
        </is>
      </c>
      <c r="B7" s="100" t="inlineStr">
        <is>
          <t>通用估算</t>
        </is>
      </c>
      <c r="C7" s="269" t="inlineStr">
        <is>
          <t>https://www.7-11.com.tw/freshfoods/4_snacks/index.aspx</t>
        </is>
      </c>
      <c r="D7" s="269" t="inlineStr">
        <is>
          <t>7-ELEVEN 類似品項與一般份量</t>
        </is>
      </c>
    </row>
    <row r="8" ht="26.39999961853027" customHeight="1">
      <c r="A8" s="283" t="inlineStr">
        <is>
          <t>2026-08-04 午餐</t>
        </is>
      </c>
      <c r="B8" s="100" t="inlineStr">
        <is>
          <t>官方／公開營養資料</t>
        </is>
      </c>
      <c r="C8" s="269" t="inlineStr">
        <is>
          <t>https://www.mcdonalds.com/tw/zh-tw/sustainability/good-food/nutrition.html</t>
        </is>
      </c>
      <c r="D8" s="269" t="inlineStr">
        <is>
          <t>大麥克、中薯、小杯玉米湯、無糖可樂</t>
        </is>
      </c>
    </row>
    <row r="9" ht="15" customHeight="1">
      <c r="A9" s="283" t="inlineStr">
        <is>
          <t>2026-08-04 晚餐</t>
        </is>
      </c>
      <c r="B9" s="100" t="inlineStr">
        <is>
          <t>使用者提供</t>
        </is>
      </c>
      <c r="C9" s="269" t="inlineStr">
        <is>
          <t>使用者回報</t>
        </is>
      </c>
      <c r="D9" s="269" t="inlineStr">
        <is>
          <t>850 kcal、蛋白質 65 g</t>
        </is>
      </c>
    </row>
    <row r="10" ht="26.39999961853027" customHeight="1">
      <c r="A10" s="283" t="inlineStr">
        <is>
          <t>2026-08-05 早餐／晚餐</t>
        </is>
      </c>
      <c r="B10" s="100" t="inlineStr">
        <is>
          <t>包裝標示／通用估算</t>
        </is>
      </c>
      <c r="C10" s="269" t="inlineStr">
        <is>
          <t>包裝照片；https://www.fda.gov.tw/tc/site.aspx?r=1003484775&amp;sid=271</t>
        </is>
      </c>
      <c r="D10" s="269" t="inlineStr">
        <is>
          <t>飯糰採包裝標示；鐵板燒採通用份量估算</t>
        </is>
      </c>
    </row>
    <row r="11" ht="15" customHeight="1">
      <c r="A11" s="346" t="inlineStr">
        <is>
          <t>2026-08-06 早餐</t>
        </is>
      </c>
      <c r="B11" s="100" t="inlineStr">
        <is>
          <t>通用估算</t>
        </is>
      </c>
      <c r="C11" s="269" t="inlineStr">
        <is>
          <t>https://www.fda.gov.tw/tc/site.aspx?r=1003484775&amp;sid=271</t>
        </is>
      </c>
      <c r="D11" s="269" t="inlineStr">
        <is>
          <t>全家豆漿、地瓜、雞胸採一般份量估算</t>
        </is>
      </c>
    </row>
    <row r="12" ht="15" customHeight="1">
      <c r="A12" s="100" t="inlineStr">
        <is>
          <t>2026-08-06 午餐</t>
        </is>
      </c>
      <c r="B12" s="100" t="inlineStr">
        <is>
          <t>通用估算</t>
        </is>
      </c>
      <c r="C12" s="269" t="inlineStr">
        <is>
          <t>使用者回報，未提供品牌或標示</t>
        </is>
      </c>
      <c r="D12" s="269" t="inlineStr">
        <is>
          <t>乳清粉 40g 暫以蛋白質 30g、160 kcal 計</t>
        </is>
      </c>
    </row>
    <row r="13" ht="26.39999961853027" customHeight="1">
      <c r="A13" s="100" t="inlineStr">
        <is>
          <t>2026-08-06 晚餐</t>
        </is>
      </c>
      <c r="B13" s="100" t="inlineStr">
        <is>
          <t>通用估算</t>
        </is>
      </c>
      <c r="C13" s="269" t="inlineStr">
        <is>
          <t>https://health.tvbs.com.tw/nutrition/351544；https://www.mos.com.tw/menu/Detail.aspx?id=M001236</t>
        </is>
      </c>
      <c r="D13" s="269" t="inlineStr">
        <is>
          <t>炸雞排、炸杏鮑菇與炸魷魚的公開熱量資料；蛋白質依一般份量估算</t>
        </is>
      </c>
    </row>
    <row r="14" ht="26.39999961853027" customHeight="1">
      <c r="A14" s="100" t="inlineStr">
        <is>
          <t>2026-08-07 三餐</t>
        </is>
      </c>
      <c r="B14" s="100" t="inlineStr">
        <is>
          <t>通用估算</t>
        </is>
      </c>
      <c r="C14" s="269" t="inlineStr">
        <is>
          <t>https://www.fda.gov.tw/tc/site.aspx?r=1003484775&amp;sid=271</t>
        </is>
      </c>
      <c r="D14" s="269" t="inlineStr">
        <is>
          <t>早餐、乳清與火鍋肉片依既有設定或一般份量估算</t>
        </is>
      </c>
    </row>
    <row r="15">
      <c r="A15" s="100" t="inlineStr">
        <is>
          <t>2026-08-08 早餐／晚餐</t>
        </is>
      </c>
      <c r="B15" s="100" t="inlineStr">
        <is>
          <t>使用者回報＋既有設定</t>
        </is>
      </c>
      <c r="C15" s="269" t="inlineStr">
        <is>
          <t>使用者回報</t>
        </is>
      </c>
      <c r="D15" s="269" t="inlineStr">
        <is>
          <t>雞胸肉 30g 蛋白質；乳清 60g 粉與豆漿依既有比例估算</t>
        </is>
      </c>
    </row>
    <row r="16">
      <c r="A16" s="100" t="inlineStr">
        <is>
          <t>2026-08-08 午餐</t>
        </is>
      </c>
      <c r="B16" s="100" t="inlineStr">
        <is>
          <t>使用者回報</t>
        </is>
      </c>
      <c r="C16" s="269" t="inlineStr">
        <is>
          <t>使用者回報</t>
        </is>
      </c>
      <c r="D16" s="269" t="inlineStr">
        <is>
          <t>午餐未進食，蛋白質與熱量記為 0</t>
        </is>
      </c>
    </row>
    <row r="17">
      <c r="A17" s="100" t="inlineStr">
        <is>
          <t>2026-08-08 晚餐</t>
        </is>
      </c>
      <c r="B17" s="100" t="inlineStr">
        <is>
          <t>好食多涮涮鍋資訊＋使用者回報</t>
        </is>
      </c>
      <c r="C17" s="269" t="inlineStr">
        <is>
          <t>https://www.fonfood.com/store/416083</t>
        </is>
      </c>
      <c r="D17" s="269" t="inlineStr">
        <is>
          <t>昆布鍋與肉盤份量參考；12 盎司、鮑魚與白飯由使用者回報。無公開營養標示，故熱量與蛋白質採估算。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2" customWidth="1" min="5" max="5"/>
    <col width="14" customWidth="1" min="6" max="6"/>
    <col width="12" customWidth="1" min="7" max="7"/>
    <col width="48" customWidth="1" min="8" max="8"/>
  </cols>
  <sheetData>
    <row r="1">
      <c r="A1" s="447" t="inlineStr">
        <is>
          <t>日期</t>
        </is>
      </c>
      <c r="B1" s="447" t="inlineStr">
        <is>
          <t>有氧類型</t>
        </is>
      </c>
      <c r="C1" s="447" t="inlineStr">
        <is>
          <t>段次</t>
        </is>
      </c>
      <c r="D1" s="447" t="inlineStr">
        <is>
          <t>時間（分鐘）</t>
        </is>
      </c>
      <c r="E1" s="447" t="inlineStr">
        <is>
          <t>坡度（%）</t>
        </is>
      </c>
      <c r="F1" s="447" t="inlineStr">
        <is>
          <t>速度（km/h）</t>
        </is>
      </c>
      <c r="G1" s="447" t="inlineStr">
        <is>
          <t>距離（km）</t>
        </is>
      </c>
      <c r="H1" s="447" t="inlineStr">
        <is>
          <t>備註</t>
        </is>
      </c>
    </row>
    <row r="2">
      <c r="A2" s="21" t="n">
        <v>46262</v>
      </c>
      <c r="B2" t="inlineStr">
        <is>
          <t>跑步機爬坡</t>
        </is>
      </c>
      <c r="C2" t="n">
        <v>1</v>
      </c>
      <c r="D2" t="n">
        <v>20</v>
      </c>
      <c r="E2" t="n">
        <v>12</v>
      </c>
      <c r="F2" t="n">
        <v>4.1</v>
      </c>
      <c r="H2" t="inlineStr">
        <is>
          <t>使用者回報：爬坡坡度 12、速度 4.1 km/h、20 分鐘；獨立記錄，不併入散步分鐘。</t>
        </is>
      </c>
    </row>
    <row r="3">
      <c r="A3" s="21" t="n">
        <v>46267</v>
      </c>
      <c r="B3" t="inlineStr">
        <is>
          <t>跑步機爬坡</t>
        </is>
      </c>
      <c r="C3" t="n">
        <v>1</v>
      </c>
      <c r="D3" t="n">
        <v>30</v>
      </c>
      <c r="E3" t="n">
        <v>12</v>
      </c>
      <c r="F3" t="n">
        <v>4.1</v>
      </c>
      <c r="H3" t="inlineStr">
        <is>
          <t>使用者回報：爬坡坡度 12、速度 4.1 km/h、30 分鐘；獨立記錄，不併入散步分鐘。</t>
        </is>
      </c>
    </row>
    <row r="4">
      <c r="A4" s="21" t="n">
        <v>46270</v>
      </c>
      <c r="B4" t="inlineStr">
        <is>
          <t>跑步機有氧</t>
        </is>
      </c>
      <c r="C4" t="n">
        <v>1</v>
      </c>
      <c r="D4" t="n">
        <v>20</v>
      </c>
      <c r="E4" t="n">
        <v>1</v>
      </c>
      <c r="F4" t="n">
        <v>3.3</v>
      </c>
      <c r="H4" t="inlineStr">
        <is>
          <t>重訓後跑步機有氧；心率約142 bpm。與日常散步分開記錄，也不與12%高坡度爬坡混為同一強度。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28" customWidth="1" min="4" max="4"/>
    <col width="15" customWidth="1" min="5" max="5"/>
    <col width="20" customWidth="1" min="6" max="6"/>
    <col width="12" customWidth="1" min="7" max="7"/>
    <col width="12" customWidth="1" min="8" max="8"/>
    <col width="80" customWidth="1" min="9" max="9"/>
    <col width="30" customWidth="1" min="10" max="10"/>
    <col width="75" customWidth="1" min="11" max="11"/>
  </cols>
  <sheetData>
    <row r="1">
      <c r="A1" s="448" t="inlineStr">
        <is>
          <t>動作</t>
        </is>
      </c>
      <c r="B1" s="448" t="inlineStr">
        <is>
          <t>建議下次重量（kg）</t>
        </is>
      </c>
      <c r="C1" s="448" t="inlineStr">
        <is>
          <t>建議目標次數</t>
        </is>
      </c>
      <c r="D1" s="448" t="inlineStr">
        <is>
          <t>建議DBR</t>
        </is>
      </c>
      <c r="E1" s="448" t="inlineStr">
        <is>
          <t>最近訓練日期</t>
        </is>
      </c>
      <c r="F1" s="448" t="inlineStr">
        <is>
          <t>最近使用重量（kg）</t>
        </is>
      </c>
      <c r="G1" s="448" t="inlineStr">
        <is>
          <t>最近次數</t>
        </is>
      </c>
      <c r="H1" s="448" t="inlineStr">
        <is>
          <t>最近DBR</t>
        </is>
      </c>
      <c r="I1" s="448" t="inlineStr">
        <is>
          <t>最近訓練摘要</t>
        </is>
      </c>
      <c r="J1" s="448" t="inlineStr">
        <is>
          <t>狀態／注意</t>
        </is>
      </c>
      <c r="K1" s="448" t="inlineStr">
        <is>
          <t>建議依據</t>
        </is>
      </c>
    </row>
    <row r="2">
      <c r="A2" t="inlineStr">
        <is>
          <t>上斜胸推</t>
        </is>
      </c>
      <c r="B2" t="inlineStr"/>
      <c r="C2" t="inlineStr">
        <is>
          <t>10–15（特殊動作可依既有表現調整）</t>
        </is>
      </c>
      <c r="D2" t="inlineStr">
        <is>
          <t>1–3；最後一組可視情況 DBR0</t>
        </is>
      </c>
      <c r="E2" t="inlineStr">
        <is>
          <t>2026-09-11</t>
        </is>
      </c>
      <c r="F2" t="n">
        <v>20</v>
      </c>
      <c r="G2" t="n">
        <v>12</v>
      </c>
      <c r="H2" t="n">
        <v>1</v>
      </c>
      <c r="I2" s="449" t="inlineStr">
        <is>
          <t>25kg×15/DBR1；25kg×13/DBR1；25kg×9/DBR0；20kg×12/DBR1</t>
        </is>
      </c>
      <c r="J2" s="449" t="inlineStr">
        <is>
          <t>疼痛／不適：暫不自動推薦重量</t>
        </is>
      </c>
      <c r="K2" s="449" t="inlineStr">
        <is>
          <t>最近一次訓練備註出現疼痛／不適；保留歷史重量，但下次先確認無痛，不依重量基準直接加載。</t>
        </is>
      </c>
    </row>
    <row r="3">
      <c r="A3" t="inlineStr">
        <is>
          <t>保加利亞分腿蹲</t>
        </is>
      </c>
      <c r="B3" t="n">
        <v>10</v>
      </c>
      <c r="C3" t="inlineStr">
        <is>
          <t>10–15（特殊動作可依既有表現調整）</t>
        </is>
      </c>
      <c r="D3" t="inlineStr">
        <is>
          <t>1–3；最後一組可視情況 DBR0</t>
        </is>
      </c>
      <c r="E3" t="inlineStr">
        <is>
          <t>2026-09-11</t>
        </is>
      </c>
      <c r="F3" t="n">
        <v>10</v>
      </c>
      <c r="G3" t="n">
        <v>10</v>
      </c>
      <c r="H3" t="n">
        <v>1</v>
      </c>
      <c r="I3" s="449" t="inlineStr">
        <is>
          <t>左10kg×15/DBR2；左10kg×15/DBR2；左10kg×12/DBR2；左10kg×12/DBR2；左10kg×13/DBR2；右10kg×10/DBR2；左10kg×12/DBR1；右10kg×10/DBR1</t>
        </is>
      </c>
      <c r="J3" s="449" t="inlineStr">
        <is>
          <t>正常</t>
        </is>
      </c>
      <c r="K3" s="449" t="inlineStr">
        <is>
          <t>最近一次訓練中 10 kg 有 8 組落在約 8–20 下、DBR1–3；以可重複的工作組表現優先，不直接選最高重量。</t>
        </is>
      </c>
    </row>
    <row r="4">
      <c r="A4" t="inlineStr">
        <is>
          <t>划船</t>
        </is>
      </c>
      <c r="B4" t="n">
        <v>26.5</v>
      </c>
      <c r="C4" t="inlineStr">
        <is>
          <t>10–15（特殊動作可依既有表現調整）</t>
        </is>
      </c>
      <c r="D4" t="inlineStr">
        <is>
          <t>1–3；最後一組可視情況 DBR0</t>
        </is>
      </c>
      <c r="E4" t="inlineStr">
        <is>
          <t>2026-09-07</t>
        </is>
      </c>
      <c r="F4" t="n">
        <v>30</v>
      </c>
      <c r="G4" t="n">
        <v>13</v>
      </c>
      <c r="H4" t="n">
        <v>0</v>
      </c>
      <c r="I4" s="449" t="inlineStr">
        <is>
          <t>26.5kg×15/DBR4；26.5kg×15/DBR2；30kg×13/DBR2；30kg×13/DBR0；30kg×13/DBR0</t>
        </is>
      </c>
      <c r="J4" s="449" t="inlineStr">
        <is>
          <t>正常</t>
        </is>
      </c>
      <c r="K4" s="449" t="inlineStr">
        <is>
          <t>最近一次訓練中 26.5 kg 有 1 組落在約 8–20 下、DBR1–3；以可重複的工作組表現優先，不直接選最高重量。</t>
        </is>
      </c>
    </row>
    <row r="5">
      <c r="A5" t="inlineStr">
        <is>
          <t>反向飛鳥</t>
        </is>
      </c>
      <c r="B5" t="n">
        <v>15</v>
      </c>
      <c r="C5" t="inlineStr">
        <is>
          <t>10–15（特殊動作可依既有表現調整）</t>
        </is>
      </c>
      <c r="D5" t="inlineStr">
        <is>
          <t>1–3；最後一組可視情況 DBR0</t>
        </is>
      </c>
      <c r="E5" t="inlineStr">
        <is>
          <t>2026-09-11</t>
        </is>
      </c>
      <c r="F5" t="n">
        <v>15</v>
      </c>
      <c r="G5" t="n">
        <v>11</v>
      </c>
      <c r="H5" t="n">
        <v>1</v>
      </c>
      <c r="I5" s="449" t="inlineStr">
        <is>
          <t>15kg×15/DBR3；15kg×15/DBR1；15kg×13/DBR1；15kg×13/DBR1；15kg×11/DBR1</t>
        </is>
      </c>
      <c r="J5" s="449" t="inlineStr">
        <is>
          <t>正常</t>
        </is>
      </c>
      <c r="K5" s="449" t="inlineStr">
        <is>
          <t>最近一次訓練中 15 kg 有 5 組落在約 8–20 下、DBR1–3；以可重複的工作組表現優先，不直接選最高重量。</t>
        </is>
      </c>
    </row>
    <row r="6">
      <c r="A6" t="inlineStr">
        <is>
          <t>啞鈴側平舉</t>
        </is>
      </c>
      <c r="B6" t="n">
        <v>10</v>
      </c>
      <c r="C6" t="inlineStr">
        <is>
          <t>10–15（特殊動作可依既有表現調整）</t>
        </is>
      </c>
      <c r="D6" t="inlineStr">
        <is>
          <t>1–3；最後一組可視情況 DBR0</t>
        </is>
      </c>
      <c r="E6" t="inlineStr">
        <is>
          <t>2026-09-07</t>
        </is>
      </c>
      <c r="F6" t="n">
        <v>10</v>
      </c>
      <c r="G6" t="n">
        <v>15</v>
      </c>
      <c r="H6" t="n">
        <v>0</v>
      </c>
      <c r="I6" s="449" t="inlineStr">
        <is>
          <t>10kg×15/DBR1；10kg×13/DBR1；10kg×14/DBR1；10kg×15/DBR0</t>
        </is>
      </c>
      <c r="J6" s="449" t="inlineStr">
        <is>
          <t>正常</t>
        </is>
      </c>
      <c r="K6" s="449" t="inlineStr">
        <is>
          <t>最近一次訓練中 10 kg 有 3 組落在約 8–20 下、DBR1–3；以可重複的工作組表現優先，不直接選最高重量。</t>
        </is>
      </c>
    </row>
    <row r="7">
      <c r="A7" t="inlineStr">
        <is>
          <t>滑輪下拉</t>
        </is>
      </c>
      <c r="B7" t="n">
        <v>37.5</v>
      </c>
      <c r="C7" t="inlineStr">
        <is>
          <t>10–15（特殊動作可依既有表現調整）</t>
        </is>
      </c>
      <c r="D7" t="inlineStr">
        <is>
          <t>1–3；最後一組可視情況 DBR0</t>
        </is>
      </c>
      <c r="E7" t="inlineStr">
        <is>
          <t>2026-09-11</t>
        </is>
      </c>
      <c r="F7" t="n">
        <v>37.5</v>
      </c>
      <c r="G7" t="n">
        <v>8</v>
      </c>
      <c r="H7" t="n">
        <v>0</v>
      </c>
      <c r="I7" s="449" t="inlineStr">
        <is>
          <t>37.5kg×13/DBR2；37.5kg×13/DBR2；37.5kg×11/DBR1；37.5kg×8/DBR0</t>
        </is>
      </c>
      <c r="J7" s="449" t="inlineStr">
        <is>
          <t>正常</t>
        </is>
      </c>
      <c r="K7" s="449" t="inlineStr">
        <is>
          <t>最近一次訓練中 37.5 kg 有 3 組落在約 8–20 下、DBR1–3；以可重複的工作組表現優先，不直接選最高重量。</t>
        </is>
      </c>
    </row>
    <row r="8">
      <c r="A8" t="inlineStr">
        <is>
          <t>睾丸繩下拉</t>
        </is>
      </c>
      <c r="B8" t="n">
        <v>6.25</v>
      </c>
      <c r="C8" t="inlineStr">
        <is>
          <t>10–15（特殊動作可依既有表現調整）</t>
        </is>
      </c>
      <c r="D8" t="inlineStr">
        <is>
          <t>1–3；最後一組可視情況 DBR0</t>
        </is>
      </c>
      <c r="E8" t="inlineStr">
        <is>
          <t>2026-08-14</t>
        </is>
      </c>
      <c r="F8" t="n">
        <v>6.25</v>
      </c>
      <c r="G8" t="n">
        <v>11</v>
      </c>
      <c r="H8" t="n">
        <v>0</v>
      </c>
      <c r="I8" s="449" t="inlineStr">
        <is>
          <t>8.75kg×11/DBR0；8.75kg×10/DBR0；6.25kg×13/DBR0；6.25kg×13/DBR0；6.25kg×11/DBR0</t>
        </is>
      </c>
      <c r="J8" s="449" t="inlineStr">
        <is>
          <t>正常</t>
        </is>
      </c>
      <c r="K8" s="449" t="inlineStr">
        <is>
          <t>最近一次已知組多為力竭；下次採該次較低重量重新建立 DBR1–3 的工作組。</t>
        </is>
      </c>
    </row>
    <row r="9">
      <c r="A9" t="inlineStr">
        <is>
          <t>羅馬尼亞分腿蹲</t>
        </is>
      </c>
      <c r="B9" t="n">
        <v>10</v>
      </c>
      <c r="C9" t="inlineStr">
        <is>
          <t>10–15（特殊動作可依既有表現調整）</t>
        </is>
      </c>
      <c r="D9" t="inlineStr">
        <is>
          <t>1–3；最後一組可視情況 DBR0</t>
        </is>
      </c>
      <c r="E9" t="inlineStr">
        <is>
          <t>2026-09-05</t>
        </is>
      </c>
      <c r="F9" t="n">
        <v>10</v>
      </c>
      <c r="G9" t="n">
        <v>11</v>
      </c>
      <c r="H9" t="n">
        <v>1</v>
      </c>
      <c r="I9" s="449" t="inlineStr">
        <is>
          <t>左10kg×15/DBR3；右10kg×15/DBR3；左10kg×15/DBR2；右10kg×15/DBR2；左10kg×15/DBR1；右10kg×11/DBR1；左10kg×11/DBR2；右10kg×11/DBR1</t>
        </is>
      </c>
      <c r="J9" s="449" t="inlineStr">
        <is>
          <t>正常</t>
        </is>
      </c>
      <c r="K9" s="449" t="inlineStr">
        <is>
          <t>最近一次訓練中 10 kg 有 8 組落在約 8–20 下、DBR1–3；以可重複的工作組表現優先，不直接選最高重量。</t>
        </is>
      </c>
    </row>
    <row r="10">
      <c r="A10" t="inlineStr">
        <is>
          <t>羅馬尼亞蹲</t>
        </is>
      </c>
      <c r="B10" t="n">
        <v>5</v>
      </c>
      <c r="C10" t="inlineStr">
        <is>
          <t>10–15（特殊動作可依既有表現調整）</t>
        </is>
      </c>
      <c r="D10" t="inlineStr">
        <is>
          <t>1–3；最後一組可視情況 DBR0</t>
        </is>
      </c>
      <c r="E10" t="inlineStr">
        <is>
          <t>2026-08-12</t>
        </is>
      </c>
      <c r="F10" t="n">
        <v>5</v>
      </c>
      <c r="G10" t="n">
        <v>14</v>
      </c>
      <c r="H10" t="n">
        <v>0</v>
      </c>
      <c r="I10" s="449" t="inlineStr">
        <is>
          <t>左自重×15/DBR3；右自重×15/DBR3；左5kg×15/DBR2；右5kg×8/DBR0；左5kg×14/DBR0；右5kg×14/DBR0；左5kg×14/DBR0；右5kg×14/DBR0</t>
        </is>
      </c>
      <c r="J10" s="449" t="inlineStr">
        <is>
          <t>正常</t>
        </is>
      </c>
      <c r="K10" s="449" t="inlineStr">
        <is>
          <t>最近一次訓練中 5 kg 有 1 組落在約 8–20 下、DBR1–3；以可重複的工作組表現優先，不直接選最高重量。</t>
        </is>
      </c>
    </row>
    <row r="11">
      <c r="A11" t="inlineStr">
        <is>
          <t>腿內收</t>
        </is>
      </c>
      <c r="B11" t="n">
        <v>37.5</v>
      </c>
      <c r="C11" t="inlineStr">
        <is>
          <t>10–15（特殊動作可依既有表現調整）</t>
        </is>
      </c>
      <c r="D11" t="inlineStr">
        <is>
          <t>1–3；最後一組可視情況 DBR0</t>
        </is>
      </c>
      <c r="E11" t="inlineStr">
        <is>
          <t>2026-09-11</t>
        </is>
      </c>
      <c r="F11" t="n">
        <v>37.5</v>
      </c>
      <c r="G11" t="n">
        <v>13</v>
      </c>
      <c r="H11" t="n">
        <v>0</v>
      </c>
      <c r="I11" s="449" t="inlineStr">
        <is>
          <t>37.5kg×13/DBR2；37.5kg×13/DBR1；37.5kg×13/DBR1；37.5kg×13/DBR0</t>
        </is>
      </c>
      <c r="J11" s="449" t="inlineStr">
        <is>
          <t>正常</t>
        </is>
      </c>
      <c r="K11" s="449" t="inlineStr">
        <is>
          <t>最近一次訓練中 37.5 kg 有 3 組落在約 8–20 下、DBR1–3；以可重複的工作組表現優先，不直接選最高重量。</t>
        </is>
      </c>
    </row>
    <row r="12">
      <c r="A12" t="inlineStr">
        <is>
          <t>腿外展</t>
        </is>
      </c>
      <c r="B12" t="n">
        <v>45</v>
      </c>
      <c r="C12" t="inlineStr">
        <is>
          <t>10–15（特殊動作可依既有表現調整）</t>
        </is>
      </c>
      <c r="D12" t="inlineStr">
        <is>
          <t>1–3；最後一組可視情況 DBR0</t>
        </is>
      </c>
      <c r="E12" t="inlineStr">
        <is>
          <t>2026-09-07</t>
        </is>
      </c>
      <c r="F12" t="n">
        <v>45</v>
      </c>
      <c r="G12" t="n">
        <v>15</v>
      </c>
      <c r="H12" t="n">
        <v>2</v>
      </c>
      <c r="I12" s="449" t="inlineStr">
        <is>
          <t>40.8kg×15/DBR4；48.75kg×15/DBR1；45kg×15/DBR1；45kg×12/DBR2；45kg×15/DBR2</t>
        </is>
      </c>
      <c r="J12" s="449" t="inlineStr">
        <is>
          <t>正常</t>
        </is>
      </c>
      <c r="K12" s="449" t="inlineStr">
        <is>
          <t>最近一次訓練中 45 kg 有 3 組落在約 8–20 下、DBR1–3；以可重複的工作組表現優先，不直接選最高重量。</t>
        </is>
      </c>
    </row>
    <row r="13">
      <c r="A13" t="inlineStr">
        <is>
          <t>腿後勾</t>
        </is>
      </c>
      <c r="B13" t="n">
        <v>47</v>
      </c>
      <c r="C13" t="inlineStr">
        <is>
          <t>10–15（特殊動作可依既有表現調整）</t>
        </is>
      </c>
      <c r="D13" t="inlineStr">
        <is>
          <t>1–3；最後一組可視情況 DBR0</t>
        </is>
      </c>
      <c r="E13" t="inlineStr">
        <is>
          <t>2026-09-07</t>
        </is>
      </c>
      <c r="F13" t="n">
        <v>47</v>
      </c>
      <c r="G13" t="n">
        <v>13</v>
      </c>
      <c r="H13" t="n">
        <v>0</v>
      </c>
      <c r="I13" s="449" t="inlineStr">
        <is>
          <t>40kg×15/DBR3；47kg×15/DBR1；47kg×12/DBR1；47kg×13/DBR0</t>
        </is>
      </c>
      <c r="J13" s="449" t="inlineStr">
        <is>
          <t>正常</t>
        </is>
      </c>
      <c r="K13" s="449" t="inlineStr">
        <is>
          <t>最近一次訓練中 47 kg 有 2 組落在約 8–20 下、DBR1–3；以可重複的工作組表現優先，不直接選最高重量。</t>
        </is>
      </c>
    </row>
    <row r="14">
      <c r="A14" t="inlineStr">
        <is>
          <t>腿推舉</t>
        </is>
      </c>
      <c r="B14" t="n">
        <v>40</v>
      </c>
      <c r="C14" t="inlineStr">
        <is>
          <t>10–15（特殊動作可依既有表現調整）</t>
        </is>
      </c>
      <c r="D14" t="inlineStr">
        <is>
          <t>1–3；最後一組可視情況 DBR0</t>
        </is>
      </c>
      <c r="E14" t="inlineStr">
        <is>
          <t>2026-08-04</t>
        </is>
      </c>
      <c r="F14" t="n">
        <v>40</v>
      </c>
      <c r="G14" t="n">
        <v>16</v>
      </c>
      <c r="H14" t="n">
        <v>0</v>
      </c>
      <c r="I14" s="449" t="inlineStr">
        <is>
          <t>40kg×16/DBR3；40kg×18/DBR2；40kg×16/DBR1；40kg×16/DBR0</t>
        </is>
      </c>
      <c r="J14" s="449" t="inlineStr">
        <is>
          <t>正常</t>
        </is>
      </c>
      <c r="K14" s="449" t="inlineStr">
        <is>
          <t>最近一次訓練中 40 kg 有 3 組落在約 8–20 下、DBR1–3；以可重複的工作組表現優先，不直接選最高重量。</t>
        </is>
      </c>
    </row>
    <row r="15">
      <c r="A15" t="inlineStr">
        <is>
          <t>臀推機</t>
        </is>
      </c>
      <c r="B15" t="inlineStr"/>
      <c r="C15" t="inlineStr">
        <is>
          <t>10–15（特殊動作可依既有表現調整）</t>
        </is>
      </c>
      <c r="D15" t="inlineStr">
        <is>
          <t>1–3；最後一組可視情況 DBR0</t>
        </is>
      </c>
      <c r="E15" t="inlineStr">
        <is>
          <t>2026-08-28</t>
        </is>
      </c>
      <c r="F15" t="n">
        <v>20</v>
      </c>
      <c r="G15" t="n">
        <v>12</v>
      </c>
      <c r="H15" t="n">
        <v>2</v>
      </c>
      <c r="I15" s="449" t="inlineStr">
        <is>
          <t>20kg×12/DBR3；20kg×12/DBR2；20kg×12/DBR2</t>
        </is>
      </c>
      <c r="J15" s="449" t="inlineStr">
        <is>
          <t>疼痛／不適：暫不自動推薦重量</t>
        </is>
      </c>
      <c r="K15" s="449" t="inlineStr">
        <is>
          <t>最近一次訓練備註出現疼痛／不適；保留歷史重量，但下次先確認無痛，不依重量基準直接加載。</t>
        </is>
      </c>
    </row>
    <row r="16">
      <c r="A16" t="inlineStr">
        <is>
          <t>蝴蝶機夾胸</t>
        </is>
      </c>
      <c r="B16" t="n">
        <v>25</v>
      </c>
      <c r="C16" t="inlineStr">
        <is>
          <t>10–15（特殊動作可依既有表現調整）</t>
        </is>
      </c>
      <c r="D16" t="inlineStr">
        <is>
          <t>1–3；最後一組可視情況 DBR0</t>
        </is>
      </c>
      <c r="E16" t="inlineStr">
        <is>
          <t>2026-08-12</t>
        </is>
      </c>
      <c r="F16" t="n">
        <v>20</v>
      </c>
      <c r="G16" t="n">
        <v>13</v>
      </c>
      <c r="H16" t="n">
        <v>0</v>
      </c>
      <c r="I16" s="449" t="inlineStr">
        <is>
          <t>25kg×15/DBR3；20kg×15/DBR0；25kg×7/DBR0；20kg×13/DBR0</t>
        </is>
      </c>
      <c r="J16" s="449" t="inlineStr">
        <is>
          <t>正常</t>
        </is>
      </c>
      <c r="K16" s="449" t="inlineStr">
        <is>
          <t>最近一次訓練中 25 kg 有 1 組落在約 8–20 下、DBR1–3；以可重複的工作組表現優先，不直接選最高重量。</t>
        </is>
      </c>
    </row>
    <row r="17">
      <c r="A17" t="inlineStr">
        <is>
          <t>飛鳥夾胸</t>
        </is>
      </c>
      <c r="B17" t="n">
        <v>20</v>
      </c>
      <c r="C17" t="inlineStr">
        <is>
          <t>10–15（特殊動作可依既有表現調整）</t>
        </is>
      </c>
      <c r="D17" t="inlineStr">
        <is>
          <t>1–3；最後一組可視情況 DBR0</t>
        </is>
      </c>
      <c r="E17" t="inlineStr">
        <is>
          <t>2026-08-28</t>
        </is>
      </c>
      <c r="F17" t="n">
        <v>20</v>
      </c>
      <c r="G17" t="n">
        <v>10</v>
      </c>
      <c r="H17" t="n">
        <v>0</v>
      </c>
      <c r="I17" s="449" t="inlineStr">
        <is>
          <t>20kg×15/DBR3；20kg×14/DBR2；20kg×12/DBR1；20kg×10/DBR0</t>
        </is>
      </c>
      <c r="J17" s="449" t="inlineStr">
        <is>
          <t>正常</t>
        </is>
      </c>
      <c r="K17" s="449" t="inlineStr">
        <is>
          <t>最近一次訓練中 20 kg 有 3 組落在約 8–20 下、DBR1–3；以可重複的工作組表現優先，不直接選最高重量。</t>
        </is>
      </c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2026-08-08T14:43:37Z</dcterms:created>
  <dcterms:modified xsi:type="dcterms:W3CDTF">2026-09-13T07:32:50Z</dcterms:modified>
</cp:coreProperties>
</file>