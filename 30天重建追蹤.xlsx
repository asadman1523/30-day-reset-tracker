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  <sheet name="有氧紀錄" sheetId="10" state="visible" r:id="rId10"/>
    <sheet name="動作基準" sheetId="11" state="visible" r:id="rId11"/>
  </sheets>
  <definedNames>
    <definedName name="_xlnm._FilterDatabase" localSheetId="9" hidden="1">'有氧紀錄'!$A$1:$H$1</definedName>
    <definedName name="_xlnm._FilterDatabase" localSheetId="10" hidden="1">'動作基準'!$A$1:$K$16</definedName>
  </definedNames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3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  <font>
      <b val="1"/>
    </font>
  </fonts>
  <fills count="7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00D9EAF7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50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  <xf numFmtId="0" fontId="12" fillId="69" borderId="0" applyAlignment="1" pivotButton="0" quotePrefix="0" xfId="0">
      <alignment horizontal="center"/>
    </xf>
    <xf numFmtId="0" fontId="12" fillId="69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inlineStr">
        <is>
          <t>是</t>
        </is>
      </c>
      <c r="C27" s="40" t="inlineStr">
        <is>
          <t>否</t>
        </is>
      </c>
      <c r="D27" s="40" t="n">
        <v>0</v>
      </c>
      <c r="E27" s="44" t="n"/>
      <c r="F27" s="44" t="n"/>
      <c r="G27" s="40" t="inlineStr">
        <is>
          <t>否</t>
        </is>
      </c>
      <c r="H27" s="40" t="n">
        <v>0</v>
      </c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inlineStr">
        <is>
          <t>是</t>
        </is>
      </c>
      <c r="C29" s="40" t="inlineStr">
        <is>
          <t>否</t>
        </is>
      </c>
      <c r="D29" s="40" t="n">
        <v>0</v>
      </c>
      <c r="E29" s="44" t="n"/>
      <c r="F29" s="44" t="n"/>
      <c r="G29" s="40">
        <f>IF(COUNTIF('重訓紀錄'!$A$5:$A$304,A29)&gt;0,"是",IF(B29="","","否"))</f>
        <v/>
      </c>
      <c r="H29" s="40" t="n">
        <v>0</v>
      </c>
      <c r="I29" s="40" t="n">
        <v>2</v>
      </c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 t="inlineStr">
        <is>
          <t>否</t>
        </is>
      </c>
      <c r="H30" s="40" t="n">
        <v>0</v>
      </c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 t="inlineStr">
        <is>
          <t>否</t>
        </is>
      </c>
      <c r="H31" s="40" t="n">
        <v>30</v>
      </c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 t="inlineStr">
        <is>
          <t>否</t>
        </is>
      </c>
      <c r="H32" s="40" t="n">
        <v>0</v>
      </c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 t="inlineStr">
        <is>
          <t>否</t>
        </is>
      </c>
      <c r="H33" s="40" t="n">
        <v>0</v>
      </c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 t="inlineStr">
        <is>
          <t>否</t>
        </is>
      </c>
      <c r="H34" s="42" t="n">
        <v>0</v>
      </c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DBR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2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1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1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1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3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2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1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1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2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6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2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2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1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3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2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1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3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3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4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2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n">
        <v>5</v>
      </c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n">
        <v>3</v>
      </c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n">
        <v>2</v>
      </c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n">
        <v>2</v>
      </c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n">
        <v>5</v>
      </c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n">
        <v>5</v>
      </c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n">
        <v>2</v>
      </c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n">
        <v>1</v>
      </c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n">
        <v>0</v>
      </c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n">
        <v>5</v>
      </c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n">
        <v>3</v>
      </c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n">
        <v>2</v>
      </c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n">
        <v>1</v>
      </c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n">
        <v>3</v>
      </c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n">
        <v>1</v>
      </c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n">
        <v>0</v>
      </c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n">
        <v>0</v>
      </c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n">
        <v>3</v>
      </c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n">
        <v>0</v>
      </c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n">
        <v>0</v>
      </c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n">
        <v>0</v>
      </c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n">
        <v>0</v>
      </c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n">
        <v>0</v>
      </c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n">
        <v>0</v>
      </c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n">
        <v>0</v>
      </c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n">
        <v>3</v>
      </c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n">
        <v>3</v>
      </c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n">
        <v>2</v>
      </c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n">
        <v>0</v>
      </c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n">
        <v>0</v>
      </c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n">
        <v>0</v>
      </c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n">
        <v>0</v>
      </c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n">
        <v>0</v>
      </c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n">
        <v>3</v>
      </c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n">
        <v>1</v>
      </c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n">
        <v>0</v>
      </c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n">
        <v>0</v>
      </c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n">
        <v>0</v>
      </c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n">
        <v>0</v>
      </c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n">
        <v>0</v>
      </c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n">
        <v>0</v>
      </c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n">
        <v>0</v>
      </c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n">
        <v>2</v>
      </c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n">
        <v>1</v>
      </c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n">
        <v>1</v>
      </c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n">
        <v>0</v>
      </c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n">
        <v>2</v>
      </c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n">
        <v>1</v>
      </c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n">
        <v>0</v>
      </c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n">
        <v>0</v>
      </c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n">
        <v>3</v>
      </c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n">
        <v>3</v>
      </c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n">
        <v>0</v>
      </c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n">
        <v>0</v>
      </c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n">
        <v>3</v>
      </c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n">
        <v>0</v>
      </c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n">
        <v>0</v>
      </c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n">
        <v>0</v>
      </c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n">
        <v>3</v>
      </c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n">
        <v>3</v>
      </c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n">
        <v>2</v>
      </c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n">
        <v>0</v>
      </c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n">
        <v>2</v>
      </c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n">
        <v>5</v>
      </c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n">
        <v>4</v>
      </c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n">
        <v>3</v>
      </c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n">
        <v>1</v>
      </c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n">
        <v>0</v>
      </c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n">
        <v>0</v>
      </c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n">
        <v>1</v>
      </c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n">
        <v>0</v>
      </c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n">
        <v>0</v>
      </c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n">
        <v>1</v>
      </c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n">
        <v>1</v>
      </c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n">
        <v>0</v>
      </c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n">
        <v>2</v>
      </c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n">
        <v>1</v>
      </c>
      <c r="H114" s="412">
        <f>IF(OR(E114="",F114=""),"",E114*F114)</f>
        <v/>
      </c>
      <c r="I114" s="44" t="inlineStr">
        <is>
          <t>DBR 1</t>
        </is>
      </c>
    </row>
    <row r="115">
      <c r="A115" s="403" t="n">
        <v>46262</v>
      </c>
      <c r="B115" s="34" t="inlineStr">
        <is>
          <t>重訓</t>
        </is>
      </c>
      <c r="C115" s="34" t="inlineStr">
        <is>
          <t>上斜胸推</t>
        </is>
      </c>
      <c r="D115" s="410" t="n">
        <v>1</v>
      </c>
      <c r="E115" s="411" t="n">
        <v>25</v>
      </c>
      <c r="F115" s="411" t="n">
        <v>13</v>
      </c>
      <c r="G115" s="411" t="n">
        <v>2</v>
      </c>
      <c r="H115" s="412">
        <f>IF(OR(E115="",F115=""),"",E115*F115)</f>
        <v/>
      </c>
      <c r="I115" s="44" t="inlineStr">
        <is>
          <t>DBR 2</t>
        </is>
      </c>
    </row>
    <row r="116">
      <c r="A116" s="403" t="n">
        <v>46262</v>
      </c>
      <c r="B116" s="34" t="inlineStr">
        <is>
          <t>重訓</t>
        </is>
      </c>
      <c r="C116" s="34" t="inlineStr">
        <is>
          <t>上斜胸推</t>
        </is>
      </c>
      <c r="D116" s="410" t="n">
        <v>2</v>
      </c>
      <c r="E116" s="411" t="n">
        <v>25</v>
      </c>
      <c r="F116" s="411" t="n">
        <v>12</v>
      </c>
      <c r="G116" s="411" t="n">
        <v>3</v>
      </c>
      <c r="H116" s="412">
        <f>IF(OR(E116="",F116=""),"",E116*F116)</f>
        <v/>
      </c>
      <c r="I116" s="44" t="inlineStr">
        <is>
          <t>DBR 3</t>
        </is>
      </c>
    </row>
    <row r="117">
      <c r="A117" s="403" t="n">
        <v>46262</v>
      </c>
      <c r="B117" s="34" t="inlineStr">
        <is>
          <t>重訓</t>
        </is>
      </c>
      <c r="C117" s="34" t="inlineStr">
        <is>
          <t>上斜胸推</t>
        </is>
      </c>
      <c r="D117" s="410" t="n">
        <v>3</v>
      </c>
      <c r="E117" s="411" t="n">
        <v>25</v>
      </c>
      <c r="F117" s="411" t="n">
        <v>13</v>
      </c>
      <c r="G117" s="411" t="n">
        <v>1</v>
      </c>
      <c r="H117" s="412">
        <f>IF(OR(E117="",F117=""),"",E117*F117)</f>
        <v/>
      </c>
      <c r="I117" s="44" t="inlineStr">
        <is>
          <t>DBR 1</t>
        </is>
      </c>
    </row>
    <row r="118">
      <c r="A118" s="403" t="n">
        <v>46262</v>
      </c>
      <c r="B118" s="34" t="inlineStr">
        <is>
          <t>重訓</t>
        </is>
      </c>
      <c r="C118" s="34" t="inlineStr">
        <is>
          <t>上斜胸推</t>
        </is>
      </c>
      <c r="D118" s="410" t="n">
        <v>4</v>
      </c>
      <c r="E118" s="411" t="n">
        <v>25</v>
      </c>
      <c r="F118" s="411" t="n">
        <v>10</v>
      </c>
      <c r="G118" s="411" t="n">
        <v>0</v>
      </c>
      <c r="H118" s="412">
        <f>IF(OR(E118="",F118=""),"",E118*F118)</f>
        <v/>
      </c>
      <c r="I118" s="44" t="inlineStr">
        <is>
          <t>DBR 0</t>
        </is>
      </c>
    </row>
    <row r="119">
      <c r="A119" s="403" t="n">
        <v>46262</v>
      </c>
      <c r="B119" s="34" t="inlineStr">
        <is>
          <t>重訓</t>
        </is>
      </c>
      <c r="C119" s="34" t="inlineStr">
        <is>
          <t>羅馬尼亞分腿蹲</t>
        </is>
      </c>
      <c r="D119" s="410" t="n">
        <v>1</v>
      </c>
      <c r="E119" s="411" t="n">
        <v>5</v>
      </c>
      <c r="F119" s="411" t="n">
        <v>12</v>
      </c>
      <c r="G119" s="411" t="n">
        <v>3</v>
      </c>
      <c r="H119" s="412">
        <f>IF(OR(E119="",F119=""),"",E119*F119)</f>
        <v/>
      </c>
      <c r="I119" s="44" t="inlineStr">
        <is>
          <t>左腳；額外加重 5 kg；DBR 3</t>
        </is>
      </c>
    </row>
    <row r="120">
      <c r="A120" s="403" t="n">
        <v>46262</v>
      </c>
      <c r="B120" s="34" t="inlineStr">
        <is>
          <t>重訓</t>
        </is>
      </c>
      <c r="C120" s="34" t="inlineStr">
        <is>
          <t>羅馬尼亞分腿蹲</t>
        </is>
      </c>
      <c r="D120" s="410" t="n">
        <v>2</v>
      </c>
      <c r="E120" s="411" t="n">
        <v>5</v>
      </c>
      <c r="F120" s="411" t="n">
        <v>12</v>
      </c>
      <c r="G120" s="411" t="n">
        <v>3</v>
      </c>
      <c r="H120" s="412">
        <f>IF(OR(E120="",F120=""),"",E120*F120)</f>
        <v/>
      </c>
      <c r="I120" s="44" t="inlineStr">
        <is>
          <t>右腳；額外加重 5 kg；DBR 3</t>
        </is>
      </c>
    </row>
    <row r="121">
      <c r="A121" s="403" t="n">
        <v>46262</v>
      </c>
      <c r="B121" s="34" t="inlineStr">
        <is>
          <t>重訓</t>
        </is>
      </c>
      <c r="C121" s="34" t="inlineStr">
        <is>
          <t>羅馬尼亞分腿蹲</t>
        </is>
      </c>
      <c r="D121" s="410" t="n">
        <v>3</v>
      </c>
      <c r="E121" s="411" t="n">
        <v>5</v>
      </c>
      <c r="F121" s="411" t="n">
        <v>15</v>
      </c>
      <c r="G121" s="411" t="n">
        <v>2</v>
      </c>
      <c r="H121" s="412">
        <f>IF(OR(E121="",F121=""),"",E121*F121)</f>
        <v/>
      </c>
      <c r="I121" s="44" t="inlineStr">
        <is>
          <t>左腳；額外加重 5 kg；DBR 2</t>
        </is>
      </c>
    </row>
    <row r="122">
      <c r="A122" s="403" t="n">
        <v>46262</v>
      </c>
      <c r="B122" s="34" t="inlineStr">
        <is>
          <t>重訓</t>
        </is>
      </c>
      <c r="C122" s="34" t="inlineStr">
        <is>
          <t>羅馬尼亞分腿蹲</t>
        </is>
      </c>
      <c r="D122" s="410" t="n">
        <v>4</v>
      </c>
      <c r="E122" s="411" t="n">
        <v>5</v>
      </c>
      <c r="F122" s="411" t="n">
        <v>15</v>
      </c>
      <c r="G122" s="411" t="n">
        <v>3</v>
      </c>
      <c r="H122" s="412">
        <f>IF(OR(E122="",F122=""),"",E122*F122)</f>
        <v/>
      </c>
      <c r="I122" s="44" t="inlineStr">
        <is>
          <t>右腳；額外加重 5 kg；DBR 3</t>
        </is>
      </c>
    </row>
    <row r="123">
      <c r="A123" s="403" t="n">
        <v>46262</v>
      </c>
      <c r="B123" s="34" t="inlineStr">
        <is>
          <t>重訓</t>
        </is>
      </c>
      <c r="C123" s="34" t="inlineStr">
        <is>
          <t>羅馬尼亞分腿蹲</t>
        </is>
      </c>
      <c r="D123" s="410" t="n">
        <v>5</v>
      </c>
      <c r="E123" s="411" t="n">
        <v>5</v>
      </c>
      <c r="F123" s="411" t="n">
        <v>13</v>
      </c>
      <c r="G123" s="411" t="n">
        <v>1</v>
      </c>
      <c r="H123" s="412">
        <f>IF(OR(E123="",F123=""),"",E123*F123)</f>
        <v/>
      </c>
      <c r="I123" s="44" t="inlineStr">
        <is>
          <t>左腳；額外加重 5 kg；DBR 1</t>
        </is>
      </c>
    </row>
    <row r="124">
      <c r="A124" s="403" t="n">
        <v>46262</v>
      </c>
      <c r="B124" s="34" t="inlineStr">
        <is>
          <t>重訓</t>
        </is>
      </c>
      <c r="C124" s="34" t="inlineStr">
        <is>
          <t>羅馬尼亞分腿蹲</t>
        </is>
      </c>
      <c r="D124" s="410" t="n">
        <v>6</v>
      </c>
      <c r="E124" s="411" t="n">
        <v>5</v>
      </c>
      <c r="F124" s="411" t="n">
        <v>13</v>
      </c>
      <c r="G124" s="411" t="n">
        <v>2</v>
      </c>
      <c r="H124" s="412">
        <f>IF(OR(E124="",F124=""),"",E124*F124)</f>
        <v/>
      </c>
      <c r="I124" s="44" t="inlineStr">
        <is>
          <t>右腳；額外加重 5 kg；DBR 2</t>
        </is>
      </c>
    </row>
    <row r="125">
      <c r="A125" s="403" t="n">
        <v>46262</v>
      </c>
      <c r="B125" s="34" t="inlineStr">
        <is>
          <t>重訓</t>
        </is>
      </c>
      <c r="C125" s="34" t="inlineStr">
        <is>
          <t>羅馬尼亞分腿蹲</t>
        </is>
      </c>
      <c r="D125" s="410" t="n">
        <v>7</v>
      </c>
      <c r="E125" s="411" t="n">
        <v>5</v>
      </c>
      <c r="F125" s="411" t="n">
        <v>15</v>
      </c>
      <c r="G125" s="411" t="n">
        <v>1</v>
      </c>
      <c r="H125" s="412">
        <f>IF(OR(E125="",F125=""),"",E125*F125)</f>
        <v/>
      </c>
      <c r="I125" s="44" t="inlineStr">
        <is>
          <t>左腳；額外加重 5 kg；DBR 1</t>
        </is>
      </c>
    </row>
    <row r="126">
      <c r="A126" s="403" t="n">
        <v>46262</v>
      </c>
      <c r="B126" s="34" t="inlineStr">
        <is>
          <t>重訓</t>
        </is>
      </c>
      <c r="C126" s="34" t="inlineStr">
        <is>
          <t>羅馬尼亞分腿蹲</t>
        </is>
      </c>
      <c r="D126" s="410" t="n">
        <v>8</v>
      </c>
      <c r="E126" s="411" t="n">
        <v>5</v>
      </c>
      <c r="F126" s="411" t="n">
        <v>15</v>
      </c>
      <c r="G126" s="411" t="n">
        <v>1</v>
      </c>
      <c r="H126" s="412">
        <f>IF(OR(E126="",F126=""),"",E126*F126)</f>
        <v/>
      </c>
      <c r="I126" s="44" t="inlineStr">
        <is>
          <t>右腳；額外加重 5 kg；DBR 1</t>
        </is>
      </c>
    </row>
    <row r="127">
      <c r="A127" s="403" t="n">
        <v>46262</v>
      </c>
      <c r="B127" s="34" t="inlineStr">
        <is>
          <t>重訓</t>
        </is>
      </c>
      <c r="C127" s="34" t="inlineStr">
        <is>
          <t>臀推機</t>
        </is>
      </c>
      <c r="D127" s="410" t="n">
        <v>1</v>
      </c>
      <c r="E127" s="411" t="n">
        <v>20</v>
      </c>
      <c r="F127" s="411" t="n">
        <v>12</v>
      </c>
      <c r="G127" s="411" t="n">
        <v>3</v>
      </c>
      <c r="H127" s="412">
        <f>IF(OR(E127="",F127=""),"",E127*F127)</f>
        <v/>
      </c>
      <c r="I127" s="44" t="inlineStr">
        <is>
          <t>使用者回報；今天因先前30kg後骨盆後側曾痛超過一週，改以20kg回測。</t>
        </is>
      </c>
    </row>
    <row r="128">
      <c r="A128" s="403" t="n">
        <v>46262</v>
      </c>
      <c r="B128" s="34" t="inlineStr">
        <is>
          <t>重訓</t>
        </is>
      </c>
      <c r="C128" s="34" t="inlineStr">
        <is>
          <t>臀推機</t>
        </is>
      </c>
      <c r="D128" s="410" t="n">
        <v>2</v>
      </c>
      <c r="E128" s="411" t="n">
        <v>20</v>
      </c>
      <c r="F128" s="411" t="n">
        <v>12</v>
      </c>
      <c r="G128" s="411" t="n">
        <v>2</v>
      </c>
      <c r="H128" s="412">
        <f>IF(OR(E128="",F128=""),"",E128*F128)</f>
        <v/>
      </c>
      <c r="I128" s="44" t="inlineStr">
        <is>
          <t>使用者回報。</t>
        </is>
      </c>
    </row>
    <row r="129">
      <c r="A129" s="403" t="n">
        <v>46262</v>
      </c>
      <c r="B129" s="34" t="inlineStr">
        <is>
          <t>重訓</t>
        </is>
      </c>
      <c r="C129" s="34" t="inlineStr">
        <is>
          <t>臀推機</t>
        </is>
      </c>
      <c r="D129" s="410" t="n">
        <v>3</v>
      </c>
      <c r="E129" s="411" t="n">
        <v>20</v>
      </c>
      <c r="F129" s="411" t="n">
        <v>12</v>
      </c>
      <c r="G129" s="411" t="n">
        <v>2</v>
      </c>
      <c r="H129" s="412">
        <f>IF(OR(E129="",F129=""),"",E129*F129)</f>
        <v/>
      </c>
      <c r="I129" s="44" t="inlineStr">
        <is>
          <t>使用者回報。 完成第3組後骨盆後側微痛；臀推當日停止。</t>
        </is>
      </c>
    </row>
    <row r="130">
      <c r="A130" s="403" t="n">
        <v>46262</v>
      </c>
      <c r="B130" s="34" t="inlineStr">
        <is>
          <t>重訓</t>
        </is>
      </c>
      <c r="C130" s="34" t="inlineStr">
        <is>
          <t>飛鳥夾胸</t>
        </is>
      </c>
      <c r="D130" s="410" t="n">
        <v>1</v>
      </c>
      <c r="E130" s="411" t="n">
        <v>20</v>
      </c>
      <c r="F130" s="411" t="n">
        <v>15</v>
      </c>
      <c r="G130" s="411" t="n">
        <v>3</v>
      </c>
      <c r="H130" s="412">
        <f>IF(OR(E130="",F130=""),"",E130*F130)</f>
        <v/>
      </c>
      <c r="I130" s="44" t="inlineStr">
        <is>
          <t>使用者回報。</t>
        </is>
      </c>
    </row>
    <row r="131">
      <c r="A131" s="403" t="n">
        <v>46262</v>
      </c>
      <c r="B131" s="34" t="inlineStr">
        <is>
          <t>重訓</t>
        </is>
      </c>
      <c r="C131" s="34" t="inlineStr">
        <is>
          <t>飛鳥夾胸</t>
        </is>
      </c>
      <c r="D131" s="410" t="n">
        <v>2</v>
      </c>
      <c r="E131" s="411" t="n">
        <v>20</v>
      </c>
      <c r="F131" s="411" t="n">
        <v>14</v>
      </c>
      <c r="G131" s="411" t="n">
        <v>2</v>
      </c>
      <c r="H131" s="412">
        <f>IF(OR(E131="",F131=""),"",E131*F131)</f>
        <v/>
      </c>
      <c r="I131" s="44" t="inlineStr">
        <is>
          <t>重量未重複提供，沿用上一組 20 kg。</t>
        </is>
      </c>
    </row>
    <row r="132">
      <c r="A132" s="403" t="n">
        <v>46262</v>
      </c>
      <c r="B132" s="34" t="inlineStr">
        <is>
          <t>重訓</t>
        </is>
      </c>
      <c r="C132" s="34" t="inlineStr">
        <is>
          <t>飛鳥夾胸</t>
        </is>
      </c>
      <c r="D132" s="410" t="n">
        <v>3</v>
      </c>
      <c r="E132" s="411" t="n">
        <v>20</v>
      </c>
      <c r="F132" s="411" t="n">
        <v>12</v>
      </c>
      <c r="G132" s="411" t="n">
        <v>1</v>
      </c>
      <c r="H132" s="412">
        <f>IF(OR(E132="",F132=""),"",E132*F132)</f>
        <v/>
      </c>
      <c r="I132" s="44" t="inlineStr">
        <is>
          <t>重量未重複提供，沿用上一組 20 kg。</t>
        </is>
      </c>
    </row>
    <row r="133">
      <c r="A133" s="403" t="n">
        <v>46262</v>
      </c>
      <c r="B133" s="34" t="inlineStr">
        <is>
          <t>重訓</t>
        </is>
      </c>
      <c r="C133" s="34" t="inlineStr">
        <is>
          <t>飛鳥夾胸</t>
        </is>
      </c>
      <c r="D133" s="410" t="n">
        <v>4</v>
      </c>
      <c r="E133" s="411" t="n">
        <v>20</v>
      </c>
      <c r="F133" s="411" t="n">
        <v>10</v>
      </c>
      <c r="G133" s="411" t="n">
        <v>0</v>
      </c>
      <c r="H133" s="412">
        <f>IF(OR(E133="",F133=""),"",E133*F133)</f>
        <v/>
      </c>
      <c r="I133" s="44" t="inlineStr">
        <is>
          <t>重量未重複提供，沿用上一組 20 kg。</t>
        </is>
      </c>
    </row>
    <row r="134">
      <c r="A134" s="403" t="n">
        <v>46270</v>
      </c>
      <c r="B134" s="34" t="inlineStr">
        <is>
          <t>重訓</t>
        </is>
      </c>
      <c r="C134" s="34" t="inlineStr">
        <is>
          <t>上斜胸推</t>
        </is>
      </c>
      <c r="D134" s="410" t="n">
        <v>1</v>
      </c>
      <c r="E134" s="411" t="n">
        <v>15</v>
      </c>
      <c r="F134" s="411" t="n">
        <v>15</v>
      </c>
      <c r="G134" s="411" t="n">
        <v>5</v>
      </c>
      <c r="H134" s="412">
        <f>IF(OR(E134="",F134=""),"",E134*F134)</f>
        <v/>
      </c>
      <c r="I134" s="44" t="inlineStr">
        <is>
          <t>椅背30度；啞鈴兩支合計15kg（每手7.5kg）。過去45度上斜胸推不再作有效重量基準；本日重新建立30度基準。</t>
        </is>
      </c>
    </row>
    <row r="135">
      <c r="A135" s="403" t="n">
        <v>46270</v>
      </c>
      <c r="B135" s="34" t="inlineStr">
        <is>
          <t>重訓</t>
        </is>
      </c>
      <c r="C135" s="34" t="inlineStr">
        <is>
          <t>上斜胸推</t>
        </is>
      </c>
      <c r="D135" s="410" t="n">
        <v>2</v>
      </c>
      <c r="E135" s="411" t="n">
        <v>20</v>
      </c>
      <c r="F135" s="411" t="n">
        <v>15</v>
      </c>
      <c r="G135" s="411" t="n">
        <v>3</v>
      </c>
      <c r="H135" s="412">
        <f>IF(OR(E135="",F135=""),"",E135*F135)</f>
        <v/>
      </c>
      <c r="I135" s="44" t="inlineStr">
        <is>
          <t>椅背30度；啞鈴兩支合計20kg（每手10kg）。</t>
        </is>
      </c>
    </row>
    <row r="136">
      <c r="A136" s="403" t="n">
        <v>46270</v>
      </c>
      <c r="B136" s="34" t="inlineStr">
        <is>
          <t>重訓</t>
        </is>
      </c>
      <c r="C136" s="34" t="inlineStr">
        <is>
          <t>上斜胸推</t>
        </is>
      </c>
      <c r="D136" s="410" t="n">
        <v>3</v>
      </c>
      <c r="E136" s="411" t="n">
        <v>20</v>
      </c>
      <c r="F136" s="411" t="n">
        <v>15</v>
      </c>
      <c r="G136" s="411" t="n">
        <v>3</v>
      </c>
      <c r="H136" s="412">
        <f>IF(OR(E136="",F136=""),"",E136*F136)</f>
        <v/>
      </c>
      <c r="I136" s="44" t="inlineStr">
        <is>
          <t>椅背30度；啞鈴兩支合計20kg（每手10kg）。</t>
        </is>
      </c>
    </row>
    <row r="137">
      <c r="A137" s="403" t="n">
        <v>46270</v>
      </c>
      <c r="B137" s="34" t="inlineStr">
        <is>
          <t>重訓</t>
        </is>
      </c>
      <c r="C137" s="34" t="inlineStr">
        <is>
          <t>上斜胸推</t>
        </is>
      </c>
      <c r="D137" s="410" t="n">
        <v>4</v>
      </c>
      <c r="E137" s="411" t="n">
        <v>25</v>
      </c>
      <c r="F137" s="411" t="n">
        <v>13</v>
      </c>
      <c r="G137" s="411" t="n">
        <v>1</v>
      </c>
      <c r="H137" s="412">
        <f>IF(OR(E137="",F137=""),"",E137*F137)</f>
        <v/>
      </c>
      <c r="I137" s="44" t="inlineStr">
        <is>
          <t>椅背30度；啞鈴兩支合計25kg（每手12.5kg）。</t>
        </is>
      </c>
    </row>
    <row r="138">
      <c r="A138" s="403" t="n">
        <v>46270</v>
      </c>
      <c r="B138" s="34" t="inlineStr">
        <is>
          <t>重訓</t>
        </is>
      </c>
      <c r="C138" s="34" t="inlineStr">
        <is>
          <t>上斜胸推</t>
        </is>
      </c>
      <c r="D138" s="410" t="n">
        <v>5</v>
      </c>
      <c r="E138" s="411" t="n">
        <v>25</v>
      </c>
      <c r="F138" s="411" t="n">
        <v>8</v>
      </c>
      <c r="G138" s="411" t="n">
        <v>0</v>
      </c>
      <c r="H138" s="412">
        <f>IF(OR(E138="",F138=""),"",E138*F138)</f>
        <v/>
      </c>
      <c r="I138" s="44" t="inlineStr">
        <is>
          <t>椅背30度；啞鈴兩支合計25kg（每手12.5kg）；本組力竭。使用者回報今日二頭肌明顯疲勞。</t>
        </is>
      </c>
    </row>
    <row r="139">
      <c r="A139" s="403" t="n">
        <v>46270</v>
      </c>
      <c r="B139" s="34" t="inlineStr">
        <is>
          <t>重訓</t>
        </is>
      </c>
      <c r="C139" s="34" t="inlineStr">
        <is>
          <t>羅馬尼亞分腿蹲</t>
        </is>
      </c>
      <c r="D139" s="410" t="n">
        <v>1</v>
      </c>
      <c r="E139" s="411" t="n">
        <v>10</v>
      </c>
      <c r="F139" s="411" t="n">
        <v>15</v>
      </c>
      <c r="G139" s="411" t="n">
        <v>3</v>
      </c>
      <c r="H139" s="412">
        <f>IF(OR(E139="",F139=""),"",E139*F139)</f>
        <v/>
      </c>
      <c r="I139" s="44" t="inlineStr">
        <is>
          <t>左腳；每手5kg，兩手總負重10kg。</t>
        </is>
      </c>
    </row>
    <row r="140">
      <c r="A140" s="403" t="n">
        <v>46270</v>
      </c>
      <c r="B140" s="34" t="inlineStr">
        <is>
          <t>重訓</t>
        </is>
      </c>
      <c r="C140" s="34" t="inlineStr">
        <is>
          <t>羅馬尼亞分腿蹲</t>
        </is>
      </c>
      <c r="D140" s="410" t="n">
        <v>2</v>
      </c>
      <c r="E140" s="411" t="n">
        <v>10</v>
      </c>
      <c r="F140" s="411" t="n">
        <v>15</v>
      </c>
      <c r="G140" s="411" t="n">
        <v>3</v>
      </c>
      <c r="H140" s="412">
        <f>IF(OR(E140="",F140=""),"",E140*F140)</f>
        <v/>
      </c>
      <c r="I140" s="44" t="inlineStr">
        <is>
          <t>右腳；每手5kg，兩手總負重10kg。</t>
        </is>
      </c>
    </row>
    <row r="141">
      <c r="A141" s="403" t="n">
        <v>46270</v>
      </c>
      <c r="B141" s="34" t="inlineStr">
        <is>
          <t>重訓</t>
        </is>
      </c>
      <c r="C141" s="34" t="inlineStr">
        <is>
          <t>羅馬尼亞分腿蹲</t>
        </is>
      </c>
      <c r="D141" s="410" t="n">
        <v>3</v>
      </c>
      <c r="E141" s="411" t="n">
        <v>10</v>
      </c>
      <c r="F141" s="411" t="n">
        <v>15</v>
      </c>
      <c r="G141" s="411" t="n">
        <v>2</v>
      </c>
      <c r="H141" s="412">
        <f>IF(OR(E141="",F141=""),"",E141*F141)</f>
        <v/>
      </c>
      <c r="I141" s="44" t="inlineStr">
        <is>
          <t>左腳；每手5kg，兩手總負重10kg。</t>
        </is>
      </c>
    </row>
    <row r="142">
      <c r="A142" s="403" t="n">
        <v>46270</v>
      </c>
      <c r="B142" s="34" t="inlineStr">
        <is>
          <t>重訓</t>
        </is>
      </c>
      <c r="C142" s="34" t="inlineStr">
        <is>
          <t>羅馬尼亞分腿蹲</t>
        </is>
      </c>
      <c r="D142" s="410" t="n">
        <v>4</v>
      </c>
      <c r="E142" s="411" t="n">
        <v>10</v>
      </c>
      <c r="F142" s="411" t="n">
        <v>15</v>
      </c>
      <c r="G142" s="411" t="n">
        <v>2</v>
      </c>
      <c r="H142" s="412">
        <f>IF(OR(E142="",F142=""),"",E142*F142)</f>
        <v/>
      </c>
      <c r="I142" s="44" t="inlineStr">
        <is>
          <t>右腳；每手5kg，兩手總負重10kg。</t>
        </is>
      </c>
    </row>
    <row r="143">
      <c r="A143" s="403" t="n">
        <v>46270</v>
      </c>
      <c r="B143" s="34" t="inlineStr">
        <is>
          <t>重訓</t>
        </is>
      </c>
      <c r="C143" s="34" t="inlineStr">
        <is>
          <t>羅馬尼亞分腿蹲</t>
        </is>
      </c>
      <c r="D143" s="410" t="n">
        <v>5</v>
      </c>
      <c r="E143" s="411" t="n">
        <v>10</v>
      </c>
      <c r="F143" s="411" t="n">
        <v>15</v>
      </c>
      <c r="G143" s="411" t="n">
        <v>1</v>
      </c>
      <c r="H143" s="412">
        <f>IF(OR(E143="",F143=""),"",E143*F143)</f>
        <v/>
      </c>
      <c r="I143" s="44" t="inlineStr">
        <is>
          <t>左腳；每手5kg，兩手總負重10kg。</t>
        </is>
      </c>
    </row>
    <row r="144">
      <c r="A144" s="403" t="n">
        <v>46270</v>
      </c>
      <c r="B144" s="34" t="inlineStr">
        <is>
          <t>重訓</t>
        </is>
      </c>
      <c r="C144" s="34" t="inlineStr">
        <is>
          <t>羅馬尼亞分腿蹲</t>
        </is>
      </c>
      <c r="D144" s="410" t="n">
        <v>6</v>
      </c>
      <c r="E144" s="411" t="n">
        <v>10</v>
      </c>
      <c r="F144" s="411" t="n">
        <v>11</v>
      </c>
      <c r="G144" s="411" t="n">
        <v>1</v>
      </c>
      <c r="H144" s="412">
        <f>IF(OR(E144="",F144=""),"",E144*F144)</f>
        <v/>
      </c>
      <c r="I144" s="44" t="inlineStr">
        <is>
          <t>右腳；每手5kg，兩手總負重10kg。</t>
        </is>
      </c>
    </row>
    <row r="145">
      <c r="A145" s="403" t="n">
        <v>46270</v>
      </c>
      <c r="B145" s="34" t="inlineStr">
        <is>
          <t>重訓</t>
        </is>
      </c>
      <c r="C145" s="34" t="inlineStr">
        <is>
          <t>羅馬尼亞分腿蹲</t>
        </is>
      </c>
      <c r="D145" s="410" t="n">
        <v>7</v>
      </c>
      <c r="E145" s="411" t="n">
        <v>10</v>
      </c>
      <c r="F145" s="411" t="n">
        <v>11</v>
      </c>
      <c r="G145" s="411" t="n">
        <v>2</v>
      </c>
      <c r="H145" s="412">
        <f>IF(OR(E145="",F145=""),"",E145*F145)</f>
        <v/>
      </c>
      <c r="I145" s="44" t="inlineStr">
        <is>
          <t>左腳；每手5kg，兩手總負重10kg；最後一輪右腳先做。</t>
        </is>
      </c>
    </row>
    <row r="146">
      <c r="A146" s="403" t="n">
        <v>46270</v>
      </c>
      <c r="B146" s="34" t="inlineStr">
        <is>
          <t>重訓</t>
        </is>
      </c>
      <c r="C146" s="34" t="inlineStr">
        <is>
          <t>羅馬尼亞分腿蹲</t>
        </is>
      </c>
      <c r="D146" s="410" t="n">
        <v>8</v>
      </c>
      <c r="E146" s="411" t="n">
        <v>10</v>
      </c>
      <c r="F146" s="411" t="n">
        <v>11</v>
      </c>
      <c r="G146" s="411" t="n">
        <v>1</v>
      </c>
      <c r="H146" s="412">
        <f>IF(OR(E146="",F146=""),"",E146*F146)</f>
        <v/>
      </c>
      <c r="I146" s="44" t="inlineStr">
        <is>
          <t>右腳；每手5kg，兩手總負重10kg；最後一輪右腳先做。</t>
        </is>
      </c>
    </row>
    <row r="147">
      <c r="A147" s="403" t="n">
        <v>46270</v>
      </c>
      <c r="B147" s="34" t="inlineStr">
        <is>
          <t>重訓</t>
        </is>
      </c>
      <c r="C147" s="34" t="inlineStr">
        <is>
          <t>滑輪下拉</t>
        </is>
      </c>
      <c r="D147" s="410" t="n">
        <v>1</v>
      </c>
      <c r="E147" s="411" t="n">
        <v>30</v>
      </c>
      <c r="F147" s="411" t="n">
        <v>15</v>
      </c>
      <c r="G147" s="411" t="n">
        <v>4</v>
      </c>
      <c r="H147" s="412">
        <f>IF(OR(E147="",F147=""),"",E147*F147)</f>
        <v/>
      </c>
      <c r="I147" s="44" t="inlineStr">
        <is>
          <t>使用者更正第一組重量為30kg，非37.5kg。</t>
        </is>
      </c>
    </row>
    <row r="148">
      <c r="A148" s="403" t="n">
        <v>46270</v>
      </c>
      <c r="B148" s="34" t="inlineStr">
        <is>
          <t>重訓</t>
        </is>
      </c>
      <c r="C148" s="34" t="inlineStr">
        <is>
          <t>滑輪下拉</t>
        </is>
      </c>
      <c r="D148" s="410" t="n">
        <v>2</v>
      </c>
      <c r="E148" s="411" t="n">
        <v>37.5</v>
      </c>
      <c r="F148" s="411" t="n">
        <v>14</v>
      </c>
      <c r="G148" s="411" t="n">
        <v>2</v>
      </c>
      <c r="H148" s="412">
        <f>IF(OR(E148="",F148=""),"",E148*F148)</f>
        <v/>
      </c>
      <c r="I148" s="44" t="inlineStr">
        <is>
          <t>使用者回報。</t>
        </is>
      </c>
    </row>
    <row r="149">
      <c r="A149" s="403" t="n">
        <v>46270</v>
      </c>
      <c r="B149" s="34" t="inlineStr">
        <is>
          <t>重訓</t>
        </is>
      </c>
      <c r="C149" s="34" t="inlineStr">
        <is>
          <t>滑輪下拉</t>
        </is>
      </c>
      <c r="D149" s="410" t="n">
        <v>3</v>
      </c>
      <c r="E149" s="411" t="n">
        <v>37.5</v>
      </c>
      <c r="F149" s="411" t="n">
        <v>12</v>
      </c>
      <c r="G149" s="411" t="n">
        <v>2</v>
      </c>
      <c r="H149" s="412">
        <f>IF(OR(E149="",F149=""),"",E149*F149)</f>
        <v/>
      </c>
      <c r="I149" s="44" t="inlineStr">
        <is>
          <t>使用者回報。</t>
        </is>
      </c>
    </row>
    <row r="150">
      <c r="A150" s="403" t="n">
        <v>46270</v>
      </c>
      <c r="B150" s="34" t="inlineStr">
        <is>
          <t>重訓</t>
        </is>
      </c>
      <c r="C150" s="34" t="inlineStr">
        <is>
          <t>滑輪下拉</t>
        </is>
      </c>
      <c r="D150" s="410" t="n">
        <v>4</v>
      </c>
      <c r="E150" s="411" t="n">
        <v>37.5</v>
      </c>
      <c r="F150" s="411" t="n">
        <v>12</v>
      </c>
      <c r="G150" s="411" t="n">
        <v>1</v>
      </c>
      <c r="H150" s="412">
        <f>IF(OR(E150="",F150=""),"",E150*F150)</f>
        <v/>
      </c>
      <c r="I150" s="44" t="inlineStr">
        <is>
          <t>使用者回報。</t>
        </is>
      </c>
    </row>
    <row r="151">
      <c r="A151" s="403" t="n">
        <v>46270</v>
      </c>
      <c r="B151" s="34" t="inlineStr">
        <is>
          <t>重訓</t>
        </is>
      </c>
      <c r="C151" s="34" t="inlineStr">
        <is>
          <t>反向飛鳥</t>
        </is>
      </c>
      <c r="D151" s="410" t="n">
        <v>1</v>
      </c>
      <c r="E151" s="411" t="n">
        <v>20</v>
      </c>
      <c r="F151" s="411" t="n">
        <v>8</v>
      </c>
      <c r="G151" s="411" t="n">
        <v>1</v>
      </c>
      <c r="H151" s="412">
        <f>IF(OR(E151="",F151=""),"",E151*F151)</f>
        <v/>
      </c>
      <c r="I151" s="44" t="inlineStr">
        <is>
          <t>使用者回報。</t>
        </is>
      </c>
    </row>
    <row r="152">
      <c r="A152" s="403" t="n">
        <v>46270</v>
      </c>
      <c r="B152" s="34" t="inlineStr">
        <is>
          <t>重訓</t>
        </is>
      </c>
      <c r="C152" s="34" t="inlineStr">
        <is>
          <t>反向飛鳥</t>
        </is>
      </c>
      <c r="D152" s="410" t="n">
        <v>2</v>
      </c>
      <c r="E152" s="411" t="n">
        <v>15</v>
      </c>
      <c r="F152" s="411" t="n">
        <v>11</v>
      </c>
      <c r="G152" s="411" t="n">
        <v>1</v>
      </c>
      <c r="H152" s="412">
        <f>IF(OR(E152="",F152=""),"",E152*F152)</f>
        <v/>
      </c>
      <c r="I152" s="44" t="inlineStr">
        <is>
          <t>使用者回報。</t>
        </is>
      </c>
    </row>
    <row r="153">
      <c r="A153" s="403" t="n">
        <v>46270</v>
      </c>
      <c r="B153" s="34" t="inlineStr">
        <is>
          <t>重訓</t>
        </is>
      </c>
      <c r="C153" s="34" t="inlineStr">
        <is>
          <t>反向飛鳥</t>
        </is>
      </c>
      <c r="D153" s="410" t="n">
        <v>3</v>
      </c>
      <c r="E153" s="411" t="n">
        <v>15</v>
      </c>
      <c r="F153" s="411" t="n">
        <v>12</v>
      </c>
      <c r="G153" s="411" t="n">
        <v>0</v>
      </c>
      <c r="H153" s="412">
        <f>IF(OR(E153="",F153=""),"",E153*F153)</f>
        <v/>
      </c>
      <c r="I153" s="44" t="inlineStr">
        <is>
          <t>使用者回報；本組力竭。</t>
        </is>
      </c>
    </row>
    <row r="154">
      <c r="A154" s="403" t="n">
        <v>46270</v>
      </c>
      <c r="B154" s="34" t="inlineStr">
        <is>
          <t>重訓</t>
        </is>
      </c>
      <c r="C154" s="34" t="inlineStr">
        <is>
          <t>腿內收</t>
        </is>
      </c>
      <c r="D154" s="410" t="n">
        <v>1</v>
      </c>
      <c r="E154" s="411" t="n">
        <v>37.5</v>
      </c>
      <c r="F154" s="411" t="n">
        <v>13</v>
      </c>
      <c r="G154" s="411" t="n">
        <v>2</v>
      </c>
      <c r="H154" s="412">
        <f>IF(OR(E154="",F154=""),"",E154*F154)</f>
        <v/>
      </c>
      <c r="I154" s="44" t="inlineStr">
        <is>
          <t>使用者回報。</t>
        </is>
      </c>
    </row>
    <row r="155">
      <c r="A155" s="403" t="n">
        <v>46270</v>
      </c>
      <c r="B155" s="34" t="inlineStr">
        <is>
          <t>重訓</t>
        </is>
      </c>
      <c r="C155" s="34" t="inlineStr">
        <is>
          <t>腿內收</t>
        </is>
      </c>
      <c r="D155" s="410" t="n">
        <v>2</v>
      </c>
      <c r="E155" s="411" t="n">
        <v>37.5</v>
      </c>
      <c r="F155" s="411" t="n">
        <v>14</v>
      </c>
      <c r="G155" s="411" t="n">
        <v>2</v>
      </c>
      <c r="H155" s="412">
        <f>IF(OR(E155="",F155=""),"",E155*F155)</f>
        <v/>
      </c>
      <c r="I155" s="44" t="inlineStr">
        <is>
          <t>使用者回報。</t>
        </is>
      </c>
    </row>
    <row r="156">
      <c r="A156" s="403" t="n">
        <v>46270</v>
      </c>
      <c r="B156" s="34" t="inlineStr">
        <is>
          <t>重訓</t>
        </is>
      </c>
      <c r="C156" s="34" t="inlineStr">
        <is>
          <t>腿內收</t>
        </is>
      </c>
      <c r="D156" s="410" t="n">
        <v>3</v>
      </c>
      <c r="E156" s="411" t="n">
        <v>37.5</v>
      </c>
      <c r="F156" s="411" t="n">
        <v>15</v>
      </c>
      <c r="G156" s="411" t="n">
        <v>0</v>
      </c>
      <c r="H156" s="412">
        <f>IF(OR(E156="",F156=""),"",E156*F156)</f>
        <v/>
      </c>
      <c r="I156" s="44" t="inlineStr">
        <is>
          <t>使用者回報；本組力竭。</t>
        </is>
      </c>
    </row>
    <row r="157">
      <c r="A157" s="403" t="n">
        <v>46272</v>
      </c>
      <c r="B157" s="34" t="inlineStr">
        <is>
          <t>重訓</t>
        </is>
      </c>
      <c r="C157" s="34" t="inlineStr">
        <is>
          <t>上斜胸推</t>
        </is>
      </c>
      <c r="D157" s="410" t="n">
        <v>1</v>
      </c>
      <c r="E157" s="411" t="n">
        <v>25</v>
      </c>
      <c r="F157" s="411" t="n">
        <v>15</v>
      </c>
      <c r="G157" s="411" t="n">
        <v>2</v>
      </c>
      <c r="H157" s="412">
        <f>IF(OR(E157="",F157=""),"",E157*F157)</f>
        <v/>
      </c>
      <c r="I157" s="44" t="inlineStr">
        <is>
          <t>30°啞鈴上斜胸推；重量為兩支啞鈴合計 25 kg（每手 12.5 kg）。</t>
        </is>
      </c>
    </row>
    <row r="158">
      <c r="A158" s="403" t="n">
        <v>46272</v>
      </c>
      <c r="B158" s="34" t="inlineStr">
        <is>
          <t>重訓</t>
        </is>
      </c>
      <c r="C158" s="34" t="inlineStr">
        <is>
          <t>上斜胸推</t>
        </is>
      </c>
      <c r="D158" s="410" t="n">
        <v>2</v>
      </c>
      <c r="E158" s="411" t="n">
        <v>25</v>
      </c>
      <c r="F158" s="411" t="n">
        <v>14</v>
      </c>
      <c r="G158" s="411" t="n">
        <v>2</v>
      </c>
      <c r="H158" s="412">
        <f>IF(OR(E158="",F158=""),"",E158*F158)</f>
        <v/>
      </c>
      <c r="I158" s="44" t="inlineStr">
        <is>
          <t>30°啞鈴上斜胸推；重量為兩支啞鈴合計 25 kg（每手 12.5 kg）。</t>
        </is>
      </c>
    </row>
    <row r="159">
      <c r="A159" s="403" t="n">
        <v>46272</v>
      </c>
      <c r="B159" s="34" t="inlineStr">
        <is>
          <t>重訓</t>
        </is>
      </c>
      <c r="C159" s="34" t="inlineStr">
        <is>
          <t>上斜胸推</t>
        </is>
      </c>
      <c r="D159" s="410" t="n">
        <v>3</v>
      </c>
      <c r="E159" s="411" t="n">
        <v>15</v>
      </c>
      <c r="F159" s="411" t="n">
        <v>11</v>
      </c>
      <c r="G159" s="411" t="n">
        <v>2</v>
      </c>
      <c r="H159" s="412">
        <f>IF(OR(E159="",F159=""),"",E159*F159)</f>
        <v/>
      </c>
      <c r="I159" s="44" t="inlineStr">
        <is>
          <t>30°啞鈴上斜胸推；重量為兩支啞鈴合計 15 kg（每手 7.5 kg）。</t>
        </is>
      </c>
    </row>
    <row r="160">
      <c r="A160" s="403" t="n">
        <v>46272</v>
      </c>
      <c r="B160" s="34" t="inlineStr">
        <is>
          <t>重訓</t>
        </is>
      </c>
      <c r="C160" s="34" t="inlineStr">
        <is>
          <t>上斜胸推</t>
        </is>
      </c>
      <c r="D160" s="410" t="n">
        <v>4</v>
      </c>
      <c r="E160" s="411" t="n">
        <v>20</v>
      </c>
      <c r="F160" s="411" t="n">
        <v>13</v>
      </c>
      <c r="G160" s="411" t="n">
        <v>2</v>
      </c>
      <c r="H160" s="412">
        <f>IF(OR(E160="",F160=""),"",E160*F160)</f>
        <v/>
      </c>
      <c r="I160" s="44" t="inlineStr">
        <is>
          <t>30°啞鈴上斜胸推；重量為兩支啞鈴合計 20 kg（每手 10 kg）。</t>
        </is>
      </c>
    </row>
    <row r="161">
      <c r="A161" s="403" t="n">
        <v>46272</v>
      </c>
      <c r="B161" s="34" t="inlineStr">
        <is>
          <t>重訓</t>
        </is>
      </c>
      <c r="C161" s="34" t="inlineStr">
        <is>
          <t>划船</t>
        </is>
      </c>
      <c r="D161" s="410" t="n">
        <v>1</v>
      </c>
      <c r="E161" s="411" t="n">
        <v>26.5</v>
      </c>
      <c r="F161" s="411" t="n">
        <v>15</v>
      </c>
      <c r="G161" s="411" t="n">
        <v>4</v>
      </c>
      <c r="H161" s="412">
        <f>IF(OR(E161="",F161=""),"",E161*F161)</f>
        <v/>
      </c>
      <c r="I161" s="44" t="inlineStr">
        <is>
          <t>使用者回報。</t>
        </is>
      </c>
    </row>
    <row r="162">
      <c r="A162" s="403" t="n">
        <v>46272</v>
      </c>
      <c r="B162" s="34" t="inlineStr">
        <is>
          <t>重訓</t>
        </is>
      </c>
      <c r="C162" s="34" t="inlineStr">
        <is>
          <t>划船</t>
        </is>
      </c>
      <c r="D162" s="410" t="n">
        <v>2</v>
      </c>
      <c r="E162" s="411" t="n">
        <v>26.5</v>
      </c>
      <c r="F162" s="411" t="n">
        <v>15</v>
      </c>
      <c r="G162" s="411" t="n">
        <v>2</v>
      </c>
      <c r="H162" s="412">
        <f>IF(OR(E162="",F162=""),"",E162*F162)</f>
        <v/>
      </c>
      <c r="I162" s="44" t="inlineStr">
        <is>
          <t>使用者更正：第二組仍為 26.5 kg，非 30 kg。</t>
        </is>
      </c>
    </row>
    <row r="163">
      <c r="A163" s="403" t="n">
        <v>46272</v>
      </c>
      <c r="B163" s="34" t="inlineStr">
        <is>
          <t>重訓</t>
        </is>
      </c>
      <c r="C163" s="34" t="inlineStr">
        <is>
          <t>划船</t>
        </is>
      </c>
      <c r="D163" s="410" t="n">
        <v>3</v>
      </c>
      <c r="E163" s="411" t="n">
        <v>30</v>
      </c>
      <c r="F163" s="411" t="n">
        <v>13</v>
      </c>
      <c r="G163" s="411" t="n">
        <v>2</v>
      </c>
      <c r="H163" s="412">
        <f>IF(OR(E163="",F163=""),"",E163*F163)</f>
        <v/>
      </c>
      <c r="I163" s="44" t="inlineStr">
        <is>
          <t>使用者回報。</t>
        </is>
      </c>
    </row>
    <row r="164">
      <c r="A164" s="403" t="n">
        <v>46272</v>
      </c>
      <c r="B164" s="34" t="inlineStr">
        <is>
          <t>重訓</t>
        </is>
      </c>
      <c r="C164" s="34" t="inlineStr">
        <is>
          <t>划船</t>
        </is>
      </c>
      <c r="D164" s="410" t="n">
        <v>4</v>
      </c>
      <c r="E164" s="411" t="n">
        <v>30</v>
      </c>
      <c r="F164" s="411" t="n">
        <v>13</v>
      </c>
      <c r="G164" s="411" t="n">
        <v>0</v>
      </c>
      <c r="H164" s="412">
        <f>IF(OR(E164="",F164=""),"",E164*F164)</f>
        <v/>
      </c>
      <c r="I164" s="44" t="inlineStr">
        <is>
          <t>使用者回報。</t>
        </is>
      </c>
    </row>
    <row r="165">
      <c r="A165" s="403" t="n">
        <v>46272</v>
      </c>
      <c r="B165" s="34" t="inlineStr">
        <is>
          <t>重訓</t>
        </is>
      </c>
      <c r="C165" s="34" t="inlineStr">
        <is>
          <t>划船</t>
        </is>
      </c>
      <c r="D165" s="410" t="n">
        <v>5</v>
      </c>
      <c r="E165" s="411" t="n">
        <v>30</v>
      </c>
      <c r="F165" s="411" t="n">
        <v>13</v>
      </c>
      <c r="G165" s="411" t="n">
        <v>0</v>
      </c>
      <c r="H165" s="412">
        <f>IF(OR(E165="",F165=""),"",E165*F165)</f>
        <v/>
      </c>
      <c r="I165" s="44" t="inlineStr">
        <is>
          <t>使用者補充：還有一組 30kg × 13，DBR0。</t>
        </is>
      </c>
    </row>
    <row r="166">
      <c r="A166" s="403" t="n">
        <v>46272</v>
      </c>
      <c r="B166" s="34" t="inlineStr">
        <is>
          <t>重訓</t>
        </is>
      </c>
      <c r="C166" s="34" t="inlineStr">
        <is>
          <t>腿後勾</t>
        </is>
      </c>
      <c r="D166" s="410" t="n">
        <v>1</v>
      </c>
      <c r="E166" s="411" t="n">
        <v>40</v>
      </c>
      <c r="F166" s="411" t="n">
        <v>15</v>
      </c>
      <c r="G166" s="411" t="n">
        <v>3</v>
      </c>
      <c r="H166" s="412">
        <f>IF(OR(E166="",F166=""),"",E166*F166)</f>
        <v/>
      </c>
      <c r="I166" s="44" t="inlineStr">
        <is>
          <t>使用者回報。</t>
        </is>
      </c>
    </row>
    <row r="167">
      <c r="A167" s="403" t="n">
        <v>46272</v>
      </c>
      <c r="B167" s="34" t="inlineStr">
        <is>
          <t>重訓</t>
        </is>
      </c>
      <c r="C167" s="34" t="inlineStr">
        <is>
          <t>腿後勾</t>
        </is>
      </c>
      <c r="D167" s="410" t="n">
        <v>2</v>
      </c>
      <c r="E167" s="411" t="n">
        <v>47</v>
      </c>
      <c r="F167" s="411" t="n">
        <v>15</v>
      </c>
      <c r="G167" s="411" t="n">
        <v>1</v>
      </c>
      <c r="H167" s="412">
        <f>IF(OR(E167="",F167=""),"",E167*F167)</f>
        <v/>
      </c>
      <c r="I167" s="44" t="inlineStr">
        <is>
          <t>使用者回報。</t>
        </is>
      </c>
    </row>
    <row r="168">
      <c r="A168" s="403" t="n">
        <v>46272</v>
      </c>
      <c r="B168" s="34" t="inlineStr">
        <is>
          <t>重訓</t>
        </is>
      </c>
      <c r="C168" s="34" t="inlineStr">
        <is>
          <t>腿後勾</t>
        </is>
      </c>
      <c r="D168" s="410" t="n">
        <v>3</v>
      </c>
      <c r="E168" s="411" t="n">
        <v>47</v>
      </c>
      <c r="F168" s="411" t="n">
        <v>12</v>
      </c>
      <c r="G168" s="411" t="n">
        <v>1</v>
      </c>
      <c r="H168" s="412">
        <f>IF(OR(E168="",F168=""),"",E168*F168)</f>
        <v/>
      </c>
      <c r="I168" s="44" t="inlineStr">
        <is>
          <t>使用者回報。</t>
        </is>
      </c>
    </row>
    <row r="169">
      <c r="A169" s="403" t="n">
        <v>46272</v>
      </c>
      <c r="B169" s="34" t="inlineStr">
        <is>
          <t>重訓</t>
        </is>
      </c>
      <c r="C169" s="34" t="inlineStr">
        <is>
          <t>腿後勾</t>
        </is>
      </c>
      <c r="D169" s="410" t="n">
        <v>4</v>
      </c>
      <c r="E169" s="411" t="n">
        <v>47</v>
      </c>
      <c r="F169" s="411" t="n">
        <v>13</v>
      </c>
      <c r="G169" s="411" t="n">
        <v>0</v>
      </c>
      <c r="H169" s="412">
        <f>IF(OR(E169="",F169=""),"",E169*F169)</f>
        <v/>
      </c>
      <c r="I169" s="44" t="inlineStr">
        <is>
          <t>使用者回報。</t>
        </is>
      </c>
    </row>
    <row r="170">
      <c r="A170" s="403" t="n">
        <v>46272</v>
      </c>
      <c r="B170" s="34" t="inlineStr">
        <is>
          <t>重訓</t>
        </is>
      </c>
      <c r="C170" s="34" t="inlineStr">
        <is>
          <t>腿外展</t>
        </is>
      </c>
      <c r="D170" s="410" t="n">
        <v>1</v>
      </c>
      <c r="E170" s="411" t="n">
        <v>40.8</v>
      </c>
      <c r="F170" s="411" t="n">
        <v>15</v>
      </c>
      <c r="G170" s="411" t="n">
        <v>4</v>
      </c>
      <c r="H170" s="412">
        <f>IF(OR(E170="",F170=""),"",E170*F170)</f>
        <v/>
      </c>
      <c r="I170" s="44" t="inlineStr">
        <is>
          <t>使用者回報。</t>
        </is>
      </c>
    </row>
    <row r="171">
      <c r="A171" s="403" t="n">
        <v>46272</v>
      </c>
      <c r="B171" s="34" t="inlineStr">
        <is>
          <t>重訓</t>
        </is>
      </c>
      <c r="C171" s="34" t="inlineStr">
        <is>
          <t>腿外展</t>
        </is>
      </c>
      <c r="D171" s="410" t="n">
        <v>2</v>
      </c>
      <c r="E171" s="411" t="n">
        <v>48.75</v>
      </c>
      <c r="F171" s="411" t="n">
        <v>15</v>
      </c>
      <c r="G171" s="411" t="n">
        <v>1</v>
      </c>
      <c r="H171" s="412">
        <f>IF(OR(E171="",F171=""),"",E171*F171)</f>
        <v/>
      </c>
      <c r="I171" s="44" t="inlineStr">
        <is>
          <t>使用者回報。</t>
        </is>
      </c>
    </row>
    <row r="172">
      <c r="A172" s="403" t="n">
        <v>46272</v>
      </c>
      <c r="B172" s="34" t="inlineStr">
        <is>
          <t>重訓</t>
        </is>
      </c>
      <c r="C172" s="34" t="inlineStr">
        <is>
          <t>腿外展</t>
        </is>
      </c>
      <c r="D172" s="410" t="n">
        <v>3</v>
      </c>
      <c r="E172" s="411" t="n">
        <v>45</v>
      </c>
      <c r="F172" s="411" t="n">
        <v>15</v>
      </c>
      <c r="G172" s="411" t="n">
        <v>1</v>
      </c>
      <c r="H172" s="412">
        <f>IF(OR(E172="",F172=""),"",E172*F172)</f>
        <v/>
      </c>
      <c r="I172" s="44" t="inlineStr">
        <is>
          <t>使用者回報。</t>
        </is>
      </c>
    </row>
    <row r="173">
      <c r="A173" s="403" t="n">
        <v>46272</v>
      </c>
      <c r="B173" s="34" t="inlineStr">
        <is>
          <t>重訓</t>
        </is>
      </c>
      <c r="C173" s="34" t="inlineStr">
        <is>
          <t>腿外展</t>
        </is>
      </c>
      <c r="D173" s="410" t="n">
        <v>4</v>
      </c>
      <c r="E173" s="411" t="n">
        <v>45</v>
      </c>
      <c r="F173" s="411" t="n">
        <v>12</v>
      </c>
      <c r="G173" s="411" t="n">
        <v>2</v>
      </c>
      <c r="H173" s="412">
        <f>IF(OR(E173="",F173=""),"",E173*F173)</f>
        <v/>
      </c>
      <c r="I173" s="44" t="inlineStr">
        <is>
          <t>使用者回報。</t>
        </is>
      </c>
    </row>
    <row r="174">
      <c r="A174" s="403" t="n">
        <v>46272</v>
      </c>
      <c r="B174" s="34" t="inlineStr">
        <is>
          <t>重訓</t>
        </is>
      </c>
      <c r="C174" s="34" t="inlineStr">
        <is>
          <t>腿外展</t>
        </is>
      </c>
      <c r="D174" s="410" t="n">
        <v>5</v>
      </c>
      <c r="E174" s="411" t="n">
        <v>45</v>
      </c>
      <c r="F174" s="411" t="n">
        <v>15</v>
      </c>
      <c r="G174" s="411" t="n">
        <v>2</v>
      </c>
      <c r="H174" s="412">
        <f>IF(OR(E174="",F174=""),"",E174*F174)</f>
        <v/>
      </c>
      <c r="I174" s="44" t="inlineStr">
        <is>
          <t>使用者追加回報。</t>
        </is>
      </c>
    </row>
    <row r="175">
      <c r="A175" s="403" t="n">
        <v>46272</v>
      </c>
      <c r="B175" s="34" t="inlineStr">
        <is>
          <t>重訓</t>
        </is>
      </c>
      <c r="C175" s="34" t="inlineStr">
        <is>
          <t>啞鈴側平舉</t>
        </is>
      </c>
      <c r="D175" s="410" t="n">
        <v>1</v>
      </c>
      <c r="E175" s="411" t="n">
        <v>10</v>
      </c>
      <c r="F175" s="411" t="n">
        <v>15</v>
      </c>
      <c r="G175" s="411" t="n">
        <v>1</v>
      </c>
      <c r="H175" s="412">
        <f>IF(OR(E175="",F175=""),"",E175*F175)</f>
        <v/>
      </c>
      <c r="I175" s="44" t="inlineStr">
        <is>
          <t>使用者回報。</t>
        </is>
      </c>
    </row>
    <row r="176">
      <c r="A176" s="403" t="n">
        <v>46272</v>
      </c>
      <c r="B176" s="34" t="inlineStr">
        <is>
          <t>重訓</t>
        </is>
      </c>
      <c r="C176" s="34" t="inlineStr">
        <is>
          <t>啞鈴側平舉</t>
        </is>
      </c>
      <c r="D176" s="410" t="n">
        <v>2</v>
      </c>
      <c r="E176" s="411" t="n">
        <v>10</v>
      </c>
      <c r="F176" s="411" t="n">
        <v>13</v>
      </c>
      <c r="G176" s="411" t="n">
        <v>1</v>
      </c>
      <c r="H176" s="412">
        <f>IF(OR(E176="",F176=""),"",E176*F176)</f>
        <v/>
      </c>
      <c r="I176" s="44" t="inlineStr">
        <is>
          <t>重量未重複提供，沿用上一組 10 kg。</t>
        </is>
      </c>
    </row>
    <row r="177">
      <c r="A177" s="403" t="n">
        <v>46272</v>
      </c>
      <c r="B177" s="34" t="inlineStr">
        <is>
          <t>重訓</t>
        </is>
      </c>
      <c r="C177" s="34" t="inlineStr">
        <is>
          <t>啞鈴側平舉</t>
        </is>
      </c>
      <c r="D177" s="410" t="n">
        <v>3</v>
      </c>
      <c r="E177" s="411" t="n">
        <v>10</v>
      </c>
      <c r="F177" s="411" t="n">
        <v>14</v>
      </c>
      <c r="G177" s="411" t="n">
        <v>1</v>
      </c>
      <c r="H177" s="412">
        <f>IF(OR(E177="",F177=""),"",E177*F177)</f>
        <v/>
      </c>
      <c r="I177" s="44" t="inlineStr">
        <is>
          <t>重量未重複提供，沿用上一組 10 kg。</t>
        </is>
      </c>
    </row>
    <row r="178">
      <c r="A178" s="403" t="n">
        <v>46272</v>
      </c>
      <c r="B178" s="34" t="inlineStr">
        <is>
          <t>重訓</t>
        </is>
      </c>
      <c r="C178" s="34" t="inlineStr">
        <is>
          <t>啞鈴側平舉</t>
        </is>
      </c>
      <c r="D178" s="410" t="n">
        <v>4</v>
      </c>
      <c r="E178" s="411" t="n">
        <v>10</v>
      </c>
      <c r="F178" s="411" t="n">
        <v>15</v>
      </c>
      <c r="G178" s="411" t="n">
        <v>0</v>
      </c>
      <c r="H178" s="412">
        <f>IF(OR(E178="",F178=""),"",E178*F178)</f>
        <v/>
      </c>
      <c r="I178" s="44" t="inlineStr">
        <is>
          <t>重量未重複提供，沿用上一組 10 kg。</t>
        </is>
      </c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35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 + 乳清蛋白粉 40g</t>
        </is>
      </c>
      <c r="E168" s="45" t="n">
        <v>62</v>
      </c>
      <c r="F168" s="45" t="n">
        <v>445</v>
      </c>
      <c r="G168" s="45" t="inlineStr">
        <is>
          <t>使用者更正：早餐有喝乳清蛋白粉 40g。估算沿用既有設定：地瓜 1 份約蛋白質 2g、碳水 35g、125 kcal；雞胸肉 1 份約蛋白質 30g、160 kcal；乳清蛋白粉 40g 約蛋白質 30g、碳水 4g、160 kcal。</t>
        </is>
      </c>
      <c r="H168" s="45" t="n">
        <v>39</v>
      </c>
    </row>
    <row r="169">
      <c r="A169" s="441" t="n">
        <v>46260</v>
      </c>
      <c r="B169" s="42" t="inlineStr">
        <is>
          <t>晚餐</t>
        </is>
      </c>
      <c r="C169" s="36" t="inlineStr">
        <is>
          <t>使用者回報＋吃剩照片估算</t>
        </is>
      </c>
      <c r="D169" s="45" t="inlineStr">
        <is>
          <t>牛肉麵 1 碗</t>
        </is>
      </c>
      <c r="E169" s="45" t="n">
        <v>38</v>
      </c>
      <c r="F169" s="45" t="n">
        <v>650</v>
      </c>
      <c r="G169" s="45" t="inlineStr">
        <is>
          <t>使用者補充牛肉麵的麵沒有吃完。依吃剩照片觀察，牛肉大致已吃完，但約仍剩 40–50% 麵量與不少湯。由原先完整一碗估算 850 kcal、蛋白質 42g、碳水 95g，下修為實際攝取約蛋白質 38g、碳水 60g、650 kcal。實際剩餘麵量與湯汁攝取仍有誤差，估計約 ±120–180 kcal。</t>
        </is>
      </c>
      <c r="H169" s="45" t="n">
        <v>60</v>
      </c>
    </row>
    <row r="170">
      <c r="A170" s="441" t="n">
        <v>46260</v>
      </c>
      <c r="B170" s="42" t="inlineStr">
        <is>
          <t>晚餐</t>
        </is>
      </c>
      <c r="C170" s="36" t="inlineStr">
        <is>
          <t>使用者回報＋照片估算</t>
        </is>
      </c>
      <c r="D170" s="45" t="inlineStr">
        <is>
          <t>照片中兩盤小菜（品項未確認）</t>
        </is>
      </c>
      <c r="E170" s="45" t="n">
        <v>28</v>
      </c>
      <c r="F170" s="45" t="n">
        <v>450</v>
      </c>
      <c r="G170" s="45" t="inlineStr">
        <is>
          <t>使用者確認照片上方兩盤小菜都有吃。因無法僅憑照片可靠確認完整品項與重量，先以兩盤一般滷／拌小菜份量合計估算約蛋白質 28g、碳水 20g、450 kcal；實際值會受肉類/豆製品種類、油脂與醬汁影響，誤差可能約 ±150–200 kcal。</t>
        </is>
      </c>
      <c r="H170" s="45" t="n">
        <v>20</v>
      </c>
    </row>
    <row r="171">
      <c r="A171" s="441" t="n">
        <v>46260</v>
      </c>
      <c r="B171" s="42" t="inlineStr">
        <is>
          <t>晚餐</t>
        </is>
      </c>
      <c r="C171" s="36" t="inlineStr">
        <is>
          <t>使用者回報</t>
        </is>
      </c>
      <c r="D171" s="45" t="inlineStr">
        <is>
          <t>乳清蛋白粉 60g + 肌酸 5g</t>
        </is>
      </c>
      <c r="E171" s="45" t="n">
        <v>45</v>
      </c>
      <c r="F171" s="45" t="n">
        <v>240</v>
      </c>
      <c r="G171" s="45" t="inlineStr">
        <is>
          <t>估算沿用既有設定：乳清蛋白粉 60g 約蛋白質 45g、碳水 6g、240 kcal；肌酸 5g 不另計蛋白質、碳水或熱量。</t>
        </is>
      </c>
      <c r="H171" s="45" t="n">
        <v>6</v>
      </c>
    </row>
    <row r="172">
      <c r="A172" s="441" t="n">
        <v>46260</v>
      </c>
      <c r="B172" s="42" t="inlineStr">
        <is>
          <t>早餐</t>
        </is>
      </c>
      <c r="C172" s="36" t="inlineStr">
        <is>
          <t>使用者回報</t>
        </is>
      </c>
      <c r="D172" s="45" t="inlineStr">
        <is>
          <t>雞胸肉 1 份 + 地瓜 1 份</t>
        </is>
      </c>
      <c r="E172" s="45" t="n">
        <v>32</v>
      </c>
      <c r="F172" s="45" t="n">
        <v>285</v>
      </c>
      <c r="G172" s="45" t="inlineStr">
        <is>
          <t>估算沿用既有設定：雞胸肉 1 份約蛋白質 30g、160 kcal；地瓜 1 份約蛋白質 2g、碳水 35g、125 kcal。</t>
        </is>
      </c>
      <c r="H172" s="45" t="n">
        <v>35</v>
      </c>
    </row>
    <row r="173">
      <c r="A173" s="441" t="n">
        <v>46260</v>
      </c>
      <c r="B173" s="42" t="inlineStr">
        <is>
          <t>午餐</t>
        </is>
      </c>
      <c r="C173" s="36" t="inlineStr">
        <is>
          <t>使用者回報</t>
        </is>
      </c>
      <c r="D173" s="45" t="inlineStr">
        <is>
          <t>未進食</t>
        </is>
      </c>
      <c r="E173" s="45" t="inlineStr"/>
      <c r="F173" s="45" t="inlineStr"/>
      <c r="G173" s="45" t="inlineStr">
        <is>
          <t>使用者明確回報午餐沒有吃。</t>
        </is>
      </c>
      <c r="H173" s="45" t="inlineStr"/>
    </row>
    <row r="174">
      <c r="A174" s="441" t="n">
        <v>46261</v>
      </c>
      <c r="B174" s="42" t="inlineStr">
        <is>
          <t>早餐</t>
        </is>
      </c>
      <c r="C174" s="36" t="inlineStr">
        <is>
          <t>使用者回報</t>
        </is>
      </c>
      <c r="D174" s="45" t="inlineStr">
        <is>
          <t>雞胸肉 1 份 + 7-ELEVEN 海鹽水煮蛋 2 顆 + 地瓜 1 份</t>
        </is>
      </c>
      <c r="E174" s="45" t="n">
        <v>42.8</v>
      </c>
      <c r="F174" s="45" t="n">
        <v>391</v>
      </c>
      <c r="G174" s="45" t="inlineStr">
        <is>
          <t>估算沿用既有設定：雞胸肉 1 份約蛋白質 30g、160 kcal；地瓜 1 份約蛋白質 2g、碳水 35g、125 kcal；7-ELEVEN 海鹽水煮蛋 2 顆沿用先前雞蛋估算，每顆約蛋白質 5.4g、碳水 1.4g、53 kcal。</t>
        </is>
      </c>
      <c r="H174" s="45" t="n">
        <v>37.8</v>
      </c>
    </row>
    <row r="175">
      <c r="A175" s="441" t="n">
        <v>46261</v>
      </c>
      <c r="B175" s="42" t="inlineStr">
        <is>
          <t>晚餐</t>
        </is>
      </c>
      <c r="C175" s="36" t="inlineStr">
        <is>
          <t>使用者回報＋照片估算</t>
        </is>
      </c>
      <c r="D175" s="45" t="inlineStr">
        <is>
          <t>牛腩咖哩飯（牛腩約 7 塊）</t>
        </is>
      </c>
      <c r="E175" s="45" t="n">
        <v>35</v>
      </c>
      <c r="F175" s="45" t="n">
        <v>1050</v>
      </c>
      <c r="G175" s="45" t="inlineStr">
        <is>
          <t>依照片與使用者回報估算：大盤白飯、咖哩醬、馬鈴薯/紅蘿蔔與牛腩約 7 塊。白飯份量看起來偏大，約 2 碗上下；牛腩約 7 塊。整份先估蛋白質約 35g、碳水約 125g、1050 kcal。實際飯量、牛腩肥瘦與咖哩油脂可能使熱量誤差約 ±200 kcal。</t>
        </is>
      </c>
      <c r="H175" s="45" t="n">
        <v>125</v>
      </c>
    </row>
    <row r="176">
      <c r="A176" s="441" t="n">
        <v>46262</v>
      </c>
      <c r="B176" s="42" t="inlineStr">
        <is>
          <t>早餐</t>
        </is>
      </c>
      <c r="C176" s="36" t="inlineStr">
        <is>
          <t>使用者回報</t>
        </is>
      </c>
      <c r="D176" s="45" t="inlineStr">
        <is>
          <t>乳清蛋白粉 40g + 雞胸肉 1 份 + 地瓜 1 份 + 肌酸 5g</t>
        </is>
      </c>
      <c r="E176" s="45" t="n">
        <v>62</v>
      </c>
      <c r="F176" s="45" t="n">
        <v>445</v>
      </c>
      <c r="G176" s="45" t="inlineStr">
        <is>
          <t>估算沿用既有設定：乳清蛋白粉 40g 約蛋白質 30g、碳水 4g、160 kcal；雞胸肉 1 份約蛋白質 30g、160 kcal；地瓜 1 份約蛋白質 2g、碳水 35g、125 kcal；肌酸 5g 不另計蛋白質、碳水或熱量。</t>
        </is>
      </c>
      <c r="H176" s="45" t="n">
        <v>39</v>
      </c>
    </row>
    <row r="177">
      <c r="A177" s="441" t="n">
        <v>46262</v>
      </c>
      <c r="B177" s="42" t="inlineStr">
        <is>
          <t>晚餐</t>
        </is>
      </c>
      <c r="C177" s="36" t="inlineStr">
        <is>
          <t>使用者回報＋7-ELEVEN 官方熱量＋既有雞蛋估算</t>
        </is>
      </c>
      <c r="D177" s="45" t="inlineStr">
        <is>
          <t>7-ELEVEN 林聰明雞肉飯飯糰 1 個 + 茶葉蛋 2 顆</t>
        </is>
      </c>
      <c r="E177" s="45" t="n">
        <v>16.8</v>
      </c>
      <c r="F177" s="45" t="n">
        <v>332</v>
      </c>
      <c r="G177" s="45" t="inlineStr">
        <is>
          <t>7-ELEVEN 官方目前列林聰明-雞肉飯飯糰每個 226 kcal；完整蛋白質與碳水未公開，先以一般同尺寸飯糰約蛋白質 6g、碳水 38g 估算。茶葉蛋 2 顆沿用既有 7-ELEVEN 雞蛋估算，每顆約蛋白質 5.4g、碳水 1.4g、53 kcal。合計約蛋白質 16.8g、碳水 40.8g、332 kcal；若有包裝營養標示可再修正。</t>
        </is>
      </c>
      <c r="H177" s="45" t="n">
        <v>40.8</v>
      </c>
    </row>
    <row r="178">
      <c r="A178" s="441" t="n">
        <v>46262</v>
      </c>
      <c r="B178" s="42" t="inlineStr">
        <is>
          <t>晚餐</t>
        </is>
      </c>
      <c r="C178" s="36" t="inlineStr">
        <is>
          <t>使用者回報＋既有乳清估算</t>
        </is>
      </c>
      <c r="D178" s="45" t="inlineStr">
        <is>
          <t>乳清蛋白粉 80g</t>
        </is>
      </c>
      <c r="E178" s="45" t="n">
        <v>60</v>
      </c>
      <c r="F178" s="45" t="n">
        <v>320</v>
      </c>
      <c r="G178" s="45" t="inlineStr">
        <is>
          <t>估算沿用既有設定：乳清蛋白粉 80g 約蛋白質 60g、碳水 8g、320 kcal。</t>
        </is>
      </c>
      <c r="H178" s="45" t="n">
        <v>8</v>
      </c>
    </row>
    <row r="179">
      <c r="A179" s="441" t="n">
        <v>46262</v>
      </c>
      <c r="B179" s="42" t="inlineStr">
        <is>
          <t>午餐</t>
        </is>
      </c>
      <c r="C179" s="36" t="inlineStr">
        <is>
          <t>使用者回報</t>
        </is>
      </c>
      <c r="D179" s="45" t="inlineStr">
        <is>
          <t>未進食</t>
        </is>
      </c>
      <c r="E179" s="45" t="n">
        <v>0</v>
      </c>
      <c r="F179" s="45" t="n">
        <v>0</v>
      </c>
      <c r="G179" s="45" t="inlineStr">
        <is>
          <t>使用者明確回報今天午餐未進食。</t>
        </is>
      </c>
      <c r="H179" s="45" t="n">
        <v>0</v>
      </c>
    </row>
    <row r="180">
      <c r="A180" s="441" t="n">
        <v>46263</v>
      </c>
      <c r="B180" s="42" t="inlineStr">
        <is>
          <t>早餐</t>
        </is>
      </c>
      <c r="C180" s="36" t="inlineStr">
        <is>
          <t>使用者回報＋既有乳清/地瓜/香蕉估算</t>
        </is>
      </c>
      <c r="D180" s="45" t="inlineStr">
        <is>
          <t>乳清蛋白粉 40g + 雞胸肉 1 份 + 地瓜 1 份 + 香蕉 2 根</t>
        </is>
      </c>
      <c r="E180" s="45" t="n">
        <v>56.6</v>
      </c>
      <c r="F180" s="45" t="n">
        <v>615</v>
      </c>
      <c r="G180" s="45" t="inlineStr">
        <is>
          <t>使用者明確回報雞胸肉蛋白質 22g。估算：乳清蛋白粉 40g 約蛋白質 30g、碳水 4g、160 kcal；雞胸肉本次採蛋白質 22g，熱量先以一般低脂雞胸相近份量估約 120 kcal、碳水 0g；地瓜 1 份約蛋白質 2g、碳水 35g、125 kcal；香蕉 2 根按一般中型香蕉每根約蛋白質 1.3g、碳水 27g、105 kcal。合計約蛋白質 56.6g、碳水 93g、615 kcal。若雞胸包裝有熱量標示可再修正。</t>
        </is>
      </c>
      <c r="H180" s="45" t="n">
        <v>93</v>
      </c>
    </row>
    <row r="181">
      <c r="A181" s="441" t="n">
        <v>46263</v>
      </c>
      <c r="B181" s="42" t="inlineStr">
        <is>
          <t>晚餐</t>
        </is>
      </c>
      <c r="C181" s="36" t="inlineStr">
        <is>
          <t>使用者回報＋公開菜單確認品項＋一般椒麻雞飯營養估算</t>
        </is>
      </c>
      <c r="D181" s="45" t="inlineStr">
        <is>
          <t>梁社漢 椒麻雞飯 1 份</t>
        </is>
      </c>
      <c r="E181" s="45" t="n">
        <v>50</v>
      </c>
      <c r="F181" s="45" t="n">
        <v>900</v>
      </c>
      <c r="G181" s="45" t="inlineStr">
        <is>
          <t>公開菜單可確認梁社漢椒麻雞飯為去骨雞腿、椒麻醬、高麗菜絲與白飯；店家未公開完整營養標示。參考同類椒麻雞腿飯公開營養資料與一般便當份量，先估約蛋白質 50g、碳水 100g、900 kcal；主要誤差來自雞腿油脂、炸粉/吸油、白飯份量與椒麻醬，估計誤差約 ±150–200 kcal。</t>
        </is>
      </c>
      <c r="H181" s="45" t="n">
        <v>100</v>
      </c>
    </row>
    <row r="182">
      <c r="A182" s="441" t="n">
        <v>46263</v>
      </c>
      <c r="B182" s="42" t="inlineStr">
        <is>
          <t>午餐</t>
        </is>
      </c>
      <c r="C182" s="36" t="inlineStr">
        <is>
          <t>使用者回報</t>
        </is>
      </c>
      <c r="D182" s="45" t="inlineStr">
        <is>
          <t>未進食</t>
        </is>
      </c>
      <c r="E182" s="45" t="n">
        <v>0</v>
      </c>
      <c r="F182" s="45" t="n">
        <v>0</v>
      </c>
      <c r="G182" s="45" t="inlineStr">
        <is>
          <t>使用者明確回報今天午餐未進食。</t>
        </is>
      </c>
      <c r="H182" s="45" t="n">
        <v>0</v>
      </c>
    </row>
    <row r="183">
      <c r="A183" s="441" t="n">
        <v>46263</v>
      </c>
      <c r="B183" s="42" t="inlineStr">
        <is>
          <t>晚餐</t>
        </is>
      </c>
      <c r="C183" s="36" t="inlineStr">
        <is>
          <t>使用者回報＋既有乳清估算</t>
        </is>
      </c>
      <c r="D183" s="45" t="inlineStr">
        <is>
          <t>乳清蛋白粉 40g</t>
        </is>
      </c>
      <c r="E183" s="45" t="n">
        <v>30</v>
      </c>
      <c r="F183" s="45" t="n">
        <v>160</v>
      </c>
      <c r="G183" s="45" t="inlineStr">
        <is>
          <t>估算沿用既有設定：乳清蛋白粉 40g 約蛋白質 30g、碳水 4g、160 kcal。</t>
        </is>
      </c>
      <c r="H183" s="45" t="n">
        <v>4</v>
      </c>
    </row>
    <row r="184">
      <c r="A184" s="441" t="n">
        <v>46264</v>
      </c>
      <c r="B184" s="42" t="inlineStr">
        <is>
          <t>早餐</t>
        </is>
      </c>
      <c r="C184" s="36" t="inlineStr">
        <is>
          <t>使用者回報＋既有乳清/雞胸/地瓜估算</t>
        </is>
      </c>
      <c r="D184" s="45" t="inlineStr">
        <is>
          <t>乳清蛋白粉 40g + 雞胸肉 1 份 + 地瓜 1 份</t>
        </is>
      </c>
      <c r="E184" s="45" t="n">
        <v>62</v>
      </c>
      <c r="F184" s="45" t="n">
        <v>445</v>
      </c>
      <c r="G184" s="45" t="inlineStr">
        <is>
          <t>估算沿用既有設定：乳清蛋白粉 40g 約蛋白質 30g、碳水 4g、160 kcal；雞胸肉 1 份約蛋白質 30g、160 kcal；地瓜 1 份約蛋白質 2g、碳水 35g、125 kcal。</t>
        </is>
      </c>
      <c r="H184" s="45" t="n">
        <v>39</v>
      </c>
    </row>
    <row r="185">
      <c r="A185" s="441" t="n">
        <v>46264</v>
      </c>
      <c r="B185" s="42" t="inlineStr">
        <is>
          <t>晚餐</t>
        </is>
      </c>
      <c r="C185" s="36" t="inlineStr">
        <is>
          <t>使用者回報＋一般份量估算</t>
        </is>
      </c>
      <c r="D185" s="45" t="inlineStr">
        <is>
          <t>美式漢堡 1 個 + 雞塊 6 塊</t>
        </is>
      </c>
      <c r="E185" s="45" t="n">
        <v>42</v>
      </c>
      <c r="F185" s="45" t="n">
        <v>850</v>
      </c>
      <c r="G185" s="45" t="inlineStr">
        <is>
          <t>未提供店家、漢堡肉排大小、起司/醬料與雞塊品牌，先按一般美式牛肉漢堡 1 個加雞塊 6 塊透明估算：約蛋白質 42g、碳水 65g、850 kcal。實際熱量受肉排大小、起司、醬料、麵包與炸雞塊吸油量影響，估計誤差約 ±200 kcal；若補充店家或照片可再修正。</t>
        </is>
      </c>
      <c r="H185" s="45" t="n">
        <v>65</v>
      </c>
    </row>
    <row r="186">
      <c r="A186" s="441" t="n">
        <v>46264</v>
      </c>
      <c r="B186" s="42" t="inlineStr">
        <is>
          <t>午餐</t>
        </is>
      </c>
      <c r="C186" s="36" t="inlineStr">
        <is>
          <t>使用者回報</t>
        </is>
      </c>
      <c r="D186" s="45" t="inlineStr">
        <is>
          <t>未進食</t>
        </is>
      </c>
      <c r="E186" s="45" t="n">
        <v>0</v>
      </c>
      <c r="F186" s="45" t="n">
        <v>0</v>
      </c>
      <c r="G186" s="45" t="inlineStr">
        <is>
          <t>使用者明確回報今天午餐未進食。</t>
        </is>
      </c>
      <c r="H186" s="45" t="n">
        <v>0</v>
      </c>
    </row>
    <row r="187">
      <c r="A187" s="441" t="n">
        <v>46265</v>
      </c>
      <c r="B187" s="42" t="inlineStr">
        <is>
          <t>晚餐</t>
        </is>
      </c>
      <c r="C187" s="36" t="inlineStr">
        <is>
          <t>使用者回報＋一般份量估算</t>
        </is>
      </c>
      <c r="D187" s="45" t="inlineStr">
        <is>
          <t>海南雞飯 1 份 + 皮蛋豆腐 1 份 + 胡椒餅 1 個</t>
        </is>
      </c>
      <c r="E187" s="45" t="n">
        <v>55</v>
      </c>
      <c r="F187" s="45" t="n">
        <v>1200</v>
      </c>
      <c r="G187" s="45" t="inlineStr">
        <is>
          <t>未提供店家與實際份量，先以一般外食份量估算：海南雞飯約 650 kcal、蛋白質 38g、碳水 75g；皮蛋豆腐約 220 kcal、蛋白質 11g、碳水 8g；胡椒餅約 330 kcal、蛋白質 6g、碳水 42g。合計約 1200 kcal、蛋白質 55g、碳水 125g。雞皮、雞油飯、醬料、豆腐份量及胡椒餅大小會造成明顯誤差，整餐熱量估計誤差約 ±200 kcal。</t>
        </is>
      </c>
      <c r="H187" s="45" t="n">
        <v>125</v>
      </c>
    </row>
    <row r="188">
      <c r="A188" s="441" t="n">
        <v>46265</v>
      </c>
      <c r="B188" s="42" t="inlineStr">
        <is>
          <t>早餐</t>
        </is>
      </c>
      <c r="C188" s="36" t="inlineStr">
        <is>
          <t>使用者回報＋既有乳清估算</t>
        </is>
      </c>
      <c r="D188" s="45" t="inlineStr">
        <is>
          <t>地瓜（份量未提供） + 乳清蛋白粉 40g + 雞胸肉 1 塊（重量未提供）</t>
        </is>
      </c>
      <c r="E188" s="45" t="n">
        <v>30</v>
      </c>
      <c r="F188" s="45" t="n">
        <v>160</v>
      </c>
      <c r="G188" s="45" t="inlineStr">
        <is>
          <t>乳清蛋白粉 40g 沿用既有估算：約蛋白質 30g、碳水 4g、160 kcal。地瓜份量與雞胸肉重量未提供，依規則不猜份量，因此本列營養數值暫只計入乳清；地瓜與雞胸肉營養待補份量後再修正。</t>
        </is>
      </c>
      <c r="H188" s="45" t="n">
        <v>4</v>
      </c>
    </row>
    <row r="189">
      <c r="A189" s="441" t="n">
        <v>46265</v>
      </c>
      <c r="B189" s="42" t="inlineStr">
        <is>
          <t>午餐</t>
        </is>
      </c>
      <c r="C189" s="36" t="inlineStr">
        <is>
          <t>使用者回報</t>
        </is>
      </c>
      <c r="D189" s="45" t="inlineStr">
        <is>
          <t>未進食</t>
        </is>
      </c>
      <c r="E189" s="45" t="n">
        <v>0</v>
      </c>
      <c r="F189" s="45" t="n">
        <v>0</v>
      </c>
      <c r="G189" s="45" t="inlineStr">
        <is>
          <t>使用者明確回報今天午餐未進食。</t>
        </is>
      </c>
      <c r="H189" s="45" t="n">
        <v>0</v>
      </c>
    </row>
    <row r="190">
      <c r="A190" s="441" t="n">
        <v>46265</v>
      </c>
      <c r="B190" s="42" t="inlineStr">
        <is>
          <t>晚餐</t>
        </is>
      </c>
      <c r="C190" s="36" t="inlineStr">
        <is>
          <t>使用者回報＋既有乳清估算</t>
        </is>
      </c>
      <c r="D190" s="45" t="inlineStr">
        <is>
          <t>乳清蛋白粉 40g</t>
        </is>
      </c>
      <c r="E190" s="45" t="n">
        <v>30</v>
      </c>
      <c r="F190" s="45" t="n">
        <v>160</v>
      </c>
      <c r="G190" s="45" t="inlineStr">
        <is>
          <t>晚餐原有餐點保留，本筆為追加。乳清蛋白粉 40g 沿用既有估算：約蛋白質 30g、碳水 4g、160 kcal。</t>
        </is>
      </c>
      <c r="H190" s="45" t="n">
        <v>4</v>
      </c>
    </row>
    <row r="191">
      <c r="A191" s="441" t="n">
        <v>46266</v>
      </c>
      <c r="B191" s="42" t="inlineStr">
        <is>
          <t>午餐</t>
        </is>
      </c>
      <c r="C191" s="36" t="inlineStr">
        <is>
          <t>使用者回報</t>
        </is>
      </c>
      <c r="D191" s="45" t="inlineStr">
        <is>
          <t>炸雞 3 塊</t>
        </is>
      </c>
      <c r="E191" s="45" t="n">
        <v>50</v>
      </c>
      <c r="F191" s="45" t="n"/>
      <c r="G191" s="45" t="inlineStr">
        <is>
          <t>使用者回報炸雞 3 塊，但未提供店家、部位、單塊大小或重量；依規則不猜份量，因此蛋白質、碳水與熱量暫留空白。 使用者指定炸雞 3 塊蛋白質以 50g 計。</t>
        </is>
      </c>
      <c r="H191" s="45" t="n"/>
    </row>
    <row r="192">
      <c r="A192" s="441" t="n">
        <v>46266</v>
      </c>
      <c r="B192" s="42" t="inlineStr">
        <is>
          <t>晚餐</t>
        </is>
      </c>
      <c r="C192" s="36" t="inlineStr">
        <is>
          <t>使用者更正＋一般中型香蕉估算</t>
        </is>
      </c>
      <c r="D192" s="45" t="inlineStr">
        <is>
          <t>香蕉 1 根</t>
        </is>
      </c>
      <c r="E192" s="45" t="n">
        <v>1.3</v>
      </c>
      <c r="F192" s="45" t="n">
        <v>105</v>
      </c>
      <c r="G192" s="45" t="inlineStr">
        <is>
          <t>使用者更正：晚餐有吃香蕉 1 根，取代先前『未進食』紀錄。未提供重量，按一般中型香蕉透明估算：約蛋白質 1.3g、碳水 27g、105 kcal；實際依大小會有差異。</t>
        </is>
      </c>
      <c r="H192" s="45" t="n">
        <v>27</v>
      </c>
    </row>
    <row r="193">
      <c r="A193" s="441" t="n">
        <v>46266</v>
      </c>
      <c r="B193" s="42" t="inlineStr">
        <is>
          <t>早餐</t>
        </is>
      </c>
      <c r="C193" s="36" t="inlineStr">
        <is>
          <t>使用者更正＋沿用既有固定估算</t>
        </is>
      </c>
      <c r="D193" s="45" t="inlineStr">
        <is>
          <t>地瓜 1 份 + 雞胸肉 1 份 + 乳清蛋白粉 20g</t>
        </is>
      </c>
      <c r="E193" s="45" t="n">
        <v>47</v>
      </c>
      <c r="F193" s="45" t="n">
        <v>365</v>
      </c>
      <c r="G193" s="45" t="inlineStr">
        <is>
          <t>使用者更正早餐份量為地瓜 1 份、雞胸肉 1 份。沿用既有固定估算：地瓜 1 份約蛋白質 2g、碳水 35g、125 kcal；雞胸肉 1 份約蛋白質 30g、160 kcal；乳清蛋白粉 20g 約蛋白質 15g、碳水 2g、80 kcal。合計約蛋白質 47g、碳水 37g、365 kcal。</t>
        </is>
      </c>
      <c r="H193" s="45" t="n">
        <v>37</v>
      </c>
    </row>
    <row r="194">
      <c r="A194" s="441" t="n">
        <v>46266</v>
      </c>
      <c r="B194" s="42" t="inlineStr">
        <is>
          <t>晚餐</t>
        </is>
      </c>
      <c r="C194" s="36" t="inlineStr">
        <is>
          <t>使用者回報＋既有乳清估算</t>
        </is>
      </c>
      <c r="D194" s="45" t="inlineStr">
        <is>
          <t>乳清蛋白粉 40g</t>
        </is>
      </c>
      <c r="E194" s="45" t="n">
        <v>30</v>
      </c>
      <c r="F194" s="45" t="n">
        <v>160</v>
      </c>
      <c r="G194" s="45" t="inlineStr">
        <is>
          <t>晚餐原有香蕉紀錄保留，本筆為追加。乳清蛋白粉 40g 沿用既有估算：約蛋白質 30g、碳水 4g、160 kcal。</t>
        </is>
      </c>
      <c r="H194" s="45" t="n">
        <v>4</v>
      </c>
    </row>
    <row r="195">
      <c r="A195" s="441" t="n">
        <v>46266</v>
      </c>
      <c r="B195" s="42" t="inlineStr">
        <is>
          <t>晚餐</t>
        </is>
      </c>
      <c r="C195" s="36" t="inlineStr">
        <is>
          <t>使用者回報＋小塊切盤水果透明估算</t>
        </is>
      </c>
      <c r="D195" s="45" t="inlineStr">
        <is>
          <t>切盤水果：西瓜 3 小塊 + 蘋果 2 小塊 + 百香果 2 小塊 + 蓮霧 1 小塊 + 芒果 2 小塊</t>
        </is>
      </c>
      <c r="E195" s="45" t="n">
        <v>1.5</v>
      </c>
      <c r="F195" s="45" t="n">
        <v>135</v>
      </c>
      <c r="G195" s="45" t="inlineStr">
        <is>
          <t>使用者回報皆為切成小塊的水果，未提供實際重量。依小塊切盤水果做透明估算：西瓜 3 小塊、蘋果 2 小塊、百香果 2 小塊、蓮霧 1 小塊、芒果 2 小塊，合計約蛋白質 1.5g、碳水 32g、135 kcal；實際會隨切塊大小與百香果可食量變動。</t>
        </is>
      </c>
      <c r="H195" s="45" t="n">
        <v>32</v>
      </c>
    </row>
    <row r="196">
      <c r="A196" s="441" t="n">
        <v>46266</v>
      </c>
      <c r="B196" s="42" t="inlineStr">
        <is>
          <t>晚餐</t>
        </is>
      </c>
      <c r="C196" s="36" t="inlineStr">
        <is>
          <t>使用者回報＋照片份量估算</t>
        </is>
      </c>
      <c r="D196" s="45" t="inlineStr">
        <is>
          <t>水果拼盤：西瓜 3 小塊 + 蘋果 2 小塊 + 百香果 2 小塊 + 蓮霧 1 小塊 + 芒果 2 小塊</t>
        </is>
      </c>
      <c r="E196" s="45" t="n">
        <v>1.5</v>
      </c>
      <c r="F196" s="45" t="n">
        <v>140</v>
      </c>
      <c r="G196" s="45" t="inlineStr">
        <is>
          <t>依使用者明確列出的水果與照片中可見的小份量做透明估算，合計先記約蛋白質 1.5g、碳水 34g、140 kcal；切塊實際重量未量測，誤差可能約 ±40 kcal。照片另可見一大塊淡色瓜類，但使用者文字未提到，依規則暫不計入。</t>
        </is>
      </c>
      <c r="H196" s="45" t="n">
        <v>34</v>
      </c>
    </row>
    <row r="197">
      <c r="A197" s="441" t="n">
        <v>46267</v>
      </c>
      <c r="B197" s="42" t="inlineStr">
        <is>
          <t>晚餐</t>
        </is>
      </c>
      <c r="C197" s="36" t="inlineStr">
        <is>
          <t>使用者回報＋麥當勞台灣官方營養資料／透明估算</t>
        </is>
      </c>
      <c r="D197" s="45" t="inlineStr">
        <is>
          <t>麥當勞：大麥克 1 個 + 麥克鷄塊 6 塊 + 大薯 1 份 + 無糖可樂</t>
        </is>
      </c>
      <c r="E197" s="45" t="n">
        <v>52</v>
      </c>
      <c r="F197" s="45" t="n">
        <v>1370</v>
      </c>
      <c r="G197" s="45" t="inlineStr">
        <is>
          <t>大麥克採麥當勞台灣公開營養資料約 604 kcal、蛋白質 28g、碳水 51g；大薯採官方公開資料約 499 kcal、蛋白質 7.8g、碳水 66.2g；6 塊原味麥克鷄塊因官網頁面本次未直接顯示完整數字，依同品項近期公開資料透明估約 267 kcal、蛋白質 16g、碳水 16g；無糖可樂按 0 kcal 計。未提及沾醬，因此不另計。合計約 1370 kcal、蛋白質 52g、碳水 133g。</t>
        </is>
      </c>
      <c r="H197" s="45" t="n">
        <v>133</v>
      </c>
    </row>
    <row r="198">
      <c r="A198" s="441" t="n">
        <v>46267</v>
      </c>
      <c r="B198" s="42" t="inlineStr">
        <is>
          <t>早餐</t>
        </is>
      </c>
      <c r="C198" s="36" t="inlineStr">
        <is>
          <t>使用者回報＋既有 7-ELEVEN 飯糰紀錄</t>
        </is>
      </c>
      <c r="D198" s="45" t="inlineStr">
        <is>
          <t>7-ELEVEN 鮮蔬鮪魚御飯糰 1 個</t>
        </is>
      </c>
      <c r="E198" s="45" t="n">
        <v>5.2</v>
      </c>
      <c r="F198" s="45" t="n">
        <v>234</v>
      </c>
      <c r="G198" s="45" t="inlineStr">
        <is>
          <t>沿用追蹤表既有 7-ELEVEN 雙蔬／鮮蔬鮪魚飯糰設定：約 234 kcal、蛋白質 5.2g；碳水未有本次包裝標示，按既有同尺寸飯糰估算約 45g。</t>
        </is>
      </c>
      <c r="H198" s="45" t="n">
        <v>45</v>
      </c>
    </row>
    <row r="199">
      <c r="A199" s="441" t="n">
        <v>46267</v>
      </c>
      <c r="B199" s="42" t="inlineStr">
        <is>
          <t>午餐</t>
        </is>
      </c>
      <c r="C199" s="36" t="inlineStr">
        <is>
          <t>使用者回報＋既有 7-ELEVEN 飯糰／乳清估算</t>
        </is>
      </c>
      <c r="D199" s="45" t="inlineStr">
        <is>
          <t>7-ELEVEN 肉鬆御飯糰 1 個 + 乳清蛋白粉 40g</t>
        </is>
      </c>
      <c r="E199" s="45" t="n">
        <v>35.5</v>
      </c>
      <c r="F199" s="45" t="n">
        <v>411</v>
      </c>
      <c r="G199" s="45" t="inlineStr">
        <is>
          <t>肉鬆御飯糰沿用追蹤表既有設定：約 251 kcal、蛋白質 5.5g，碳水約 45g；乳清蛋白粉 40g 沿用既有設定：約 160 kcal、蛋白質 30g、碳水 4g。合計約 411 kcal、蛋白質 35.5g、碳水 49g。</t>
        </is>
      </c>
      <c r="H199" s="45" t="n">
        <v>49</v>
      </c>
    </row>
    <row r="200">
      <c r="A200" s="441" t="n">
        <v>46267</v>
      </c>
      <c r="B200" s="42" t="inlineStr">
        <is>
          <t>晚餐</t>
        </is>
      </c>
      <c r="C200" s="36" t="inlineStr">
        <is>
          <t>使用者回報＋既有乳清估算</t>
        </is>
      </c>
      <c r="D200" s="45" t="inlineStr">
        <is>
          <t>乳清蛋白粉 40g</t>
        </is>
      </c>
      <c r="E200" s="45" t="n">
        <v>30</v>
      </c>
      <c r="F200" s="45" t="n">
        <v>160</v>
      </c>
      <c r="G200" s="45" t="inlineStr">
        <is>
          <t>使用者補充今天另外喝了乳清蛋白粉 40g；本筆為追加，不覆蓋既有早餐、午餐與晚餐紀錄。沿用既有估算：約蛋白質 30g、碳水 4g、160 kcal。</t>
        </is>
      </c>
      <c r="H200" s="45" t="n">
        <v>4</v>
      </c>
    </row>
    <row r="201">
      <c r="A201" s="441" t="n">
        <v>46268</v>
      </c>
      <c r="B201" s="42" t="inlineStr">
        <is>
          <t>早餐</t>
        </is>
      </c>
      <c r="C201" s="36" t="inlineStr">
        <is>
          <t>使用者更正＋既有地瓜設定＋7-ELEVEN官方現售品項資料</t>
        </is>
      </c>
      <c r="D201" s="45" t="inlineStr">
        <is>
          <t>7-ELEVEN 30元地瓜 1 份 + 21Plus剝皮辣椒雞胸肉 1 包（145g）</t>
        </is>
      </c>
      <c r="E201" s="45" t="n">
        <v>32</v>
      </c>
      <c r="F201" s="45" t="n">
        <v>288</v>
      </c>
      <c r="G201" s="45" t="inlineStr">
        <is>
          <t>使用者更正實際品項：地瓜為 7-ELEVEN 現售 30 元地瓜；雞胸為 21Plus 剝皮辣椒雞胸肉。地瓜沿用追蹤表既有 1 份設定：約蛋白質 2g、碳水 35g、125 kcal。21Plus 剝皮辣椒雞胸肉目前 7-ELEVEN 現售規格為 145g，官方頁面列熱量 163 kcal；官方頁面未列完整蛋白質數字，本筆蛋白質先沿用一包雞胸約 30g 的透明估算。合計約蛋白質 32g、288 kcal；碳水 35g 僅計入地瓜，雞胸調味碳水未有可靠標示故不猜。</t>
        </is>
      </c>
      <c r="H201" s="45" t="n">
        <v>35</v>
      </c>
    </row>
    <row r="202">
      <c r="A202" s="441" t="n">
        <v>46268</v>
      </c>
      <c r="B202" s="42" t="inlineStr">
        <is>
          <t>晚餐</t>
        </is>
      </c>
      <c r="C202" s="36" t="inlineStr">
        <is>
          <t>使用者回報</t>
        </is>
      </c>
      <c r="D202" s="45" t="inlineStr">
        <is>
          <t>青醬義大利麵 + 小雞腿</t>
        </is>
      </c>
      <c r="E202" s="45" t="n">
        <v>42</v>
      </c>
      <c r="F202" s="45" t="n">
        <v>900</v>
      </c>
      <c r="G202" s="45" t="inlineStr">
        <is>
          <t>使用者回報晚餐吃青醬義大利麵與小雞腿；未提供義大利麵實際份量、雞腿數量或重量，依規則不猜營養數值。 依使用者提供照片做透明估算：青醬義大利麵約 1 份偏大份量，麵體約 250–300g 熟重並含青醬與可見雞肉；另有 1 支小雞腿。整餐先估約蛋白質 42g、碳水 95g、900 kcal。實際會受青醬用油/起司量、麵量與雞腿大小影響，熱量誤差約 ±150–200 kcal。照片中的飲料因種類未確認，不計入。</t>
        </is>
      </c>
      <c r="H202" s="45" t="n">
        <v>95</v>
      </c>
    </row>
    <row r="203">
      <c r="A203" s="441" t="n">
        <v>46268</v>
      </c>
      <c r="B203" s="42" t="inlineStr">
        <is>
          <t>午餐</t>
        </is>
      </c>
      <c r="C203" s="36" t="inlineStr">
        <is>
          <t>使用者回報</t>
        </is>
      </c>
      <c r="D203" s="45" t="inlineStr">
        <is>
          <t>未進食</t>
        </is>
      </c>
      <c r="E203" s="45" t="n">
        <v>0</v>
      </c>
      <c r="F203" s="45" t="n">
        <v>0</v>
      </c>
      <c r="G203" s="45" t="inlineStr">
        <is>
          <t>使用者明確回報今天午餐未進食。</t>
        </is>
      </c>
      <c r="H203" s="45" t="n">
        <v>0</v>
      </c>
    </row>
    <row r="204">
      <c r="A204" s="441" t="n">
        <v>46268</v>
      </c>
      <c r="B204" s="42" t="inlineStr">
        <is>
          <t>晚餐</t>
        </is>
      </c>
      <c r="C204" s="36" t="inlineStr">
        <is>
          <t>使用者回報＋既有乳清估算</t>
        </is>
      </c>
      <c r="D204" s="45" t="inlineStr">
        <is>
          <t>乳清蛋白粉 60g</t>
        </is>
      </c>
      <c r="E204" s="45" t="n">
        <v>45</v>
      </c>
      <c r="F204" s="45" t="n">
        <v>240</v>
      </c>
      <c r="G204" s="45" t="inlineStr">
        <is>
          <t>使用者補充晚餐後喝了乳清蛋白粉 60g；沿用既有估算：約蛋白質 45g、碳水 6g、240 kcal。</t>
        </is>
      </c>
      <c r="H204" s="45" t="n">
        <v>6</v>
      </c>
    </row>
    <row r="205">
      <c r="A205" s="441" t="n">
        <v>46269</v>
      </c>
      <c r="B205" s="42" t="inlineStr">
        <is>
          <t>早餐</t>
        </is>
      </c>
      <c r="C205" s="36" t="inlineStr">
        <is>
          <t>使用者回報＋沿用前一日同品項設定</t>
        </is>
      </c>
      <c r="D205" s="45" t="inlineStr">
        <is>
          <t>7-ELEVEN 21Plus 剝皮辣椒雞胸肉 1 包（145g）</t>
        </is>
      </c>
      <c r="E205" s="45" t="n">
        <v>30</v>
      </c>
      <c r="F205" s="45" t="n">
        <v>163</v>
      </c>
      <c r="G205" s="45" t="inlineStr">
        <is>
          <t>使用者回報早餐吃 7-ELEVEN 剝皮辣椒雞胸肉；沿用 2026-09-03 同品項設定：21Plus 剝皮辣椒雞胸肉 145g，約 163 kcal，蛋白質先估 30g。官方頁面未提供可靠完整碳水標示，因此碳水留白不猜。</t>
        </is>
      </c>
      <c r="H205" s="45" t="inlineStr"/>
    </row>
    <row r="206">
      <c r="A206" s="441" t="n">
        <v>46269</v>
      </c>
      <c r="B206" s="42" t="inlineStr">
        <is>
          <t>午餐</t>
        </is>
      </c>
      <c r="C206" s="36" t="inlineStr">
        <is>
          <t>使用者回報</t>
        </is>
      </c>
      <c r="D206" s="45" t="inlineStr">
        <is>
          <t>蛋白飲（蛋白質 52g）</t>
        </is>
      </c>
      <c r="E206" s="45" t="n">
        <v>52</v>
      </c>
      <c r="F206" s="45" t="inlineStr"/>
      <c r="G206" s="45" t="inlineStr">
        <is>
          <t>使用者回報中午喝了含蛋白質 52g 的飲品；未提供品牌、粉量、碳水或熱量標示，因此僅記錄蛋白質 52g，其餘不猜。</t>
        </is>
      </c>
      <c r="H206" s="45" t="inlineStr"/>
    </row>
    <row r="207">
      <c r="A207" s="441" t="n">
        <v>46269</v>
      </c>
      <c r="B207" s="42" t="inlineStr">
        <is>
          <t>晚餐</t>
        </is>
      </c>
      <c r="C207" s="36" t="inlineStr">
        <is>
          <t>使用者回報</t>
        </is>
      </c>
      <c r="D207" s="45" t="inlineStr">
        <is>
          <t>原味拉麵</t>
        </is>
      </c>
      <c r="E207" s="45" t="n">
        <v>30</v>
      </c>
      <c r="F207" s="45" t="n">
        <v>750</v>
      </c>
      <c r="G207" s="45" t="inlineStr">
        <is>
          <t>使用者回報晚餐吃原味拉麵；未提供店家、份量、配料或營養標示，因此蛋白質、碳水與熱量留白不猜。 使用者補充有叉燒肉 4 片。依一般拉麵店常見份量透明估算整碗約蛋白質 30g、碳水 70g、750 kcal；主要誤差來自叉燒肥瘦、麵量與湯底油脂，熱量估計誤差約 ±150–200 kcal。</t>
        </is>
      </c>
      <c r="H207" s="45" t="n">
        <v>70</v>
      </c>
    </row>
    <row r="208">
      <c r="A208" s="441" t="n">
        <v>46269</v>
      </c>
      <c r="B208" s="42" t="inlineStr">
        <is>
          <t>晚餐</t>
        </is>
      </c>
      <c r="C208" s="36" t="inlineStr">
        <is>
          <t>使用者回報</t>
        </is>
      </c>
      <c r="D208" s="45" t="inlineStr">
        <is>
          <t>額外蛋白質 26g</t>
        </is>
      </c>
      <c r="E208" s="45" t="n">
        <v>26</v>
      </c>
      <c r="F208" s="45" t="inlineStr"/>
      <c r="G208" s="45" t="inlineStr">
        <is>
          <t>使用者補充晚餐另外攝取蛋白質 26g；來源、熱量與碳水未提供，因此僅記錄蛋白質 26g，其餘不猜。</t>
        </is>
      </c>
      <c r="H208" s="45" t="inlineStr"/>
    </row>
    <row r="209">
      <c r="A209" s="441" t="n">
        <v>46270</v>
      </c>
      <c r="B209" s="42" t="inlineStr">
        <is>
          <t>早餐</t>
        </is>
      </c>
      <c r="C209" s="36" t="inlineStr">
        <is>
          <t>使用者回報</t>
        </is>
      </c>
      <c r="D209" s="45" t="inlineStr">
        <is>
          <t>早餐蛋白質 52g</t>
        </is>
      </c>
      <c r="E209" s="45" t="n">
        <v>52</v>
      </c>
      <c r="F209" s="45" t="inlineStr"/>
      <c r="G209" s="45" t="inlineStr">
        <is>
          <t>使用者回報早上攝取蛋白質 52g；未提供食物來源、品牌、熱量或碳水，因此僅記錄蛋白質 52g，其餘不猜。</t>
        </is>
      </c>
      <c r="H209" s="45" t="inlineStr"/>
    </row>
    <row r="210">
      <c r="A210" s="441" t="n">
        <v>46270</v>
      </c>
      <c r="B210" s="42" t="inlineStr">
        <is>
          <t>晚餐</t>
        </is>
      </c>
      <c r="C210" s="36" t="inlineStr">
        <is>
          <t>使用者回報＋既有雞蛋估算</t>
        </is>
      </c>
      <c r="D210" s="45" t="inlineStr">
        <is>
          <t>茶葉蛋 2 顆</t>
        </is>
      </c>
      <c r="E210" s="45" t="n">
        <v>10.8</v>
      </c>
      <c r="F210" s="45" t="n">
        <v>106</v>
      </c>
      <c r="G210" s="45" t="inlineStr">
        <is>
          <t>沿用追蹤表既有7-ELEVEN雞蛋估算：每顆約蛋白質5.4g、碳水1.4g、53 kcal。</t>
        </is>
      </c>
      <c r="H210" s="45" t="n">
        <v>2.8</v>
      </c>
    </row>
    <row r="211">
      <c r="A211" s="441" t="n">
        <v>46270</v>
      </c>
      <c r="B211" s="42" t="inlineStr">
        <is>
          <t>晚餐</t>
        </is>
      </c>
      <c r="C211" s="36" t="inlineStr">
        <is>
          <t>使用者回報＋一般中型香蕉估算</t>
        </is>
      </c>
      <c r="D211" s="45" t="inlineStr">
        <is>
          <t>香蕉 1 根</t>
        </is>
      </c>
      <c r="E211" s="45" t="n">
        <v>1.3</v>
      </c>
      <c r="F211" s="45" t="n">
        <v>105</v>
      </c>
      <c r="G211" s="45" t="inlineStr">
        <is>
          <t>未提供重量，沿用一般中型香蕉透明估算：約蛋白質1.3g、碳水27g、105 kcal。</t>
        </is>
      </c>
      <c r="H211" s="45" t="n">
        <v>27</v>
      </c>
    </row>
    <row r="212">
      <c r="A212" s="441" t="n">
        <v>46270</v>
      </c>
      <c r="B212" s="42" t="inlineStr">
        <is>
          <t>晚餐</t>
        </is>
      </c>
      <c r="C212" s="36" t="inlineStr">
        <is>
          <t>使用者回報</t>
        </is>
      </c>
      <c r="D212" s="45" t="inlineStr">
        <is>
          <t>乳清 2 包（每包蛋白質 26g）</t>
        </is>
      </c>
      <c r="E212" s="45" t="n">
        <v>52</v>
      </c>
      <c r="F212" s="45" t="inlineStr"/>
      <c r="G212" s="45" t="inlineStr">
        <is>
          <t>兩包乳清，每包提供蛋白質26g，合計蛋白質52g；未提供熱量與碳水標示，因此其餘不猜。</t>
        </is>
      </c>
      <c r="H212" s="45" t="inlineStr"/>
    </row>
    <row r="213">
      <c r="A213" s="441" t="n">
        <v>46270</v>
      </c>
      <c r="B213" s="42" t="inlineStr">
        <is>
          <t>晚餐</t>
        </is>
      </c>
      <c r="C213" s="36" t="inlineStr">
        <is>
          <t>使用者回報＋使用者提供品名</t>
        </is>
      </c>
      <c r="D213" s="45" t="inlineStr">
        <is>
          <t>7-ELEVEN 塔香香鬆素飯糰 1 個</t>
        </is>
      </c>
      <c r="E213" s="45" t="inlineStr"/>
      <c r="F213" s="45" t="inlineStr"/>
      <c r="G213" s="45" t="inlineStr">
        <is>
          <t>使用者確認正式品名為7-ELEVEN塔香香鬆素飯糰；目前沒有可靠完整營養標示，因此蛋白質、碳水與熱量暫留空白。</t>
        </is>
      </c>
      <c r="H213" s="45" t="inlineStr"/>
    </row>
    <row r="214">
      <c r="A214" s="441" t="n">
        <v>46271</v>
      </c>
      <c r="B214" s="42" t="inlineStr">
        <is>
          <t>早餐</t>
        </is>
      </c>
      <c r="C214" s="36" t="inlineStr">
        <is>
          <t>使用者回報＋份量估算</t>
        </is>
      </c>
      <c r="D214" s="45" t="inlineStr">
        <is>
          <t>繼光香香雞 1 份</t>
        </is>
      </c>
      <c r="E214" s="45" t="n">
        <v>47</v>
      </c>
      <c r="F214" s="45" t="n">
        <v>520</v>
      </c>
      <c r="G214" s="45" t="inlineStr">
        <is>
          <t>使用者回報早餐吃 1 份繼光香香雞；以一般單份份量透明估算約蛋白質 47g、520 kcal。</t>
        </is>
      </c>
      <c r="H214" s="45" t="inlineStr"/>
    </row>
    <row r="215">
      <c r="A215" s="441" t="n">
        <v>46271</v>
      </c>
      <c r="B215" s="42" t="inlineStr">
        <is>
          <t>晚餐</t>
        </is>
      </c>
      <c r="C215" s="36" t="inlineStr">
        <is>
          <t>使用者回報＋照片估算</t>
        </is>
      </c>
      <c r="D215" s="45" t="inlineStr">
        <is>
          <t>築間火鍋：大份板腱牛 1 份＋高麗菜 3 份</t>
        </is>
      </c>
      <c r="E215" s="45" t="n">
        <v>56</v>
      </c>
      <c r="F215" s="45" t="n">
        <v>575</v>
      </c>
      <c r="G215" s="45" t="inlineStr">
        <is>
          <t>使用者回報晚餐為大份板腱牛與高麗菜 3 份；依照片估算板腱牛約 52g 蛋白質、500 kcal，高麗菜 3 份約 4g 蛋白質、75 kcal。未計入照片中未明確回報食用的其他肉盤、醬料與湯底。</t>
        </is>
      </c>
      <c r="H215" s="45" t="inlineStr"/>
    </row>
    <row r="216">
      <c r="A216" s="441" t="n">
        <v>46271</v>
      </c>
      <c r="B216" s="42" t="inlineStr">
        <is>
          <t>晚餐</t>
        </is>
      </c>
      <c r="C216" s="36" t="inlineStr">
        <is>
          <t>使用者回報</t>
        </is>
      </c>
      <c r="D216" s="45" t="inlineStr">
        <is>
          <t>晚間額外蛋白質 56g</t>
        </is>
      </c>
      <c r="E216" s="45" t="n">
        <v>56</v>
      </c>
      <c r="F216" s="45" t="inlineStr"/>
      <c r="G216" s="45" t="inlineStr">
        <is>
          <t>使用者回報晚間另外喝了蛋白質 56g；未提供品牌、來源、熱量或碳水，因此僅記錄蛋白質 56g，其餘不猜。</t>
        </is>
      </c>
      <c r="H216" s="45" t="inlineStr"/>
    </row>
    <row r="217">
      <c r="A217" s="441" t="n">
        <v>46272</v>
      </c>
      <c r="B217" s="42" t="inlineStr">
        <is>
          <t>早餐</t>
        </is>
      </c>
      <c r="C217" s="36" t="inlineStr">
        <is>
          <t>使用者回報＋7-ELEVEN公開資料與第三方價位重量估算</t>
        </is>
      </c>
      <c r="D217" s="45" t="inlineStr">
        <is>
          <t>7-ELEVEN 30元地瓜</t>
        </is>
      </c>
      <c r="E217" s="45" t="n">
        <v>2.3</v>
      </c>
      <c r="F217" s="45" t="n">
        <v>162</v>
      </c>
      <c r="G217" s="45" t="inlineStr">
        <is>
          <t>7-ELEVEN官方標示現蒸地瓜25–40元依重量計價，未公開各價位固定重量；第三方2026消費者整理估30元約120–170g，本次取中間值145g。參考7-ELEVEN台農57號地瓜商品120g營養標示，換算145g約162 kcal、蛋白質2.3g、碳水37.7g。</t>
        </is>
      </c>
      <c r="H217" s="45" t="n">
        <v>37.7</v>
      </c>
    </row>
    <row r="218">
      <c r="A218" s="441" t="n">
        <v>46272</v>
      </c>
      <c r="B218" s="42" t="inlineStr">
        <is>
          <t>早餐</t>
        </is>
      </c>
      <c r="C218" s="36" t="inlineStr">
        <is>
          <t>使用者回報＋既有同款紀錄</t>
        </is>
      </c>
      <c r="D218" s="45" t="inlineStr">
        <is>
          <t>7-ELEVEN 21Plus 剝皮辣椒雞胸肉 1 包（145g）</t>
        </is>
      </c>
      <c r="E218" s="45" t="n">
        <v>30</v>
      </c>
      <c r="F218" s="45" t="n">
        <v>163</v>
      </c>
      <c r="G218" s="45" t="inlineStr">
        <is>
          <t>沿用追蹤表先前同款紀錄：約蛋白質30g、163 kcal；未取得可靠碳水標示，因此碳水留白。</t>
        </is>
      </c>
      <c r="H218" s="45" t="inlineStr"/>
    </row>
    <row r="219">
      <c r="A219" s="441" t="n">
        <v>46272</v>
      </c>
      <c r="B219" s="42" t="inlineStr">
        <is>
          <t>晚餐</t>
        </is>
      </c>
      <c r="C219" s="36" t="inlineStr">
        <is>
          <t>使用者回報＋一般便當份量透明估算</t>
        </is>
      </c>
      <c r="D219" s="45" t="inlineStr">
        <is>
          <t>腿庫肉 1 份</t>
        </is>
      </c>
      <c r="E219" s="45" t="n">
        <v>28</v>
      </c>
      <c r="F219" s="45" t="n">
        <v>400</v>
      </c>
      <c r="G219" s="45" t="inlineStr">
        <is>
          <t>使用者回報腿庫便當；未提供重量，先以一般便當腿庫肉份量估算約蛋白質28g、400 kcal，實際依肥瘦與帶皮比例可能有明顯差異。</t>
        </is>
      </c>
      <c r="H219" s="45" t="inlineStr"/>
    </row>
    <row r="220">
      <c r="A220" s="441" t="n">
        <v>46272</v>
      </c>
      <c r="B220" s="42" t="inlineStr">
        <is>
          <t>晚餐</t>
        </is>
      </c>
      <c r="C220" s="36" t="inlineStr">
        <is>
          <t>使用者回報＋一般便當份量透明估算</t>
        </is>
      </c>
      <c r="D220" s="45" t="inlineStr">
        <is>
          <t>白飯 1 份</t>
        </is>
      </c>
      <c r="E220" s="45" t="n">
        <v>5</v>
      </c>
      <c r="F220" s="45" t="n">
        <v>280</v>
      </c>
      <c r="G220" s="45" t="inlineStr">
        <is>
          <t>未提供飯量，先以一般便當白飯份量估算約蛋白質5g、碳水60g、280 kcal。</t>
        </is>
      </c>
      <c r="H220" s="45" t="n">
        <v>60</v>
      </c>
    </row>
    <row r="221">
      <c r="A221" s="441" t="n">
        <v>46272</v>
      </c>
      <c r="B221" s="42" t="inlineStr">
        <is>
          <t>晚餐</t>
        </is>
      </c>
      <c r="C221" s="36" t="inlineStr">
        <is>
          <t>使用者回報＋一般便當配菜透明估算</t>
        </is>
      </c>
      <c r="D221" s="45" t="inlineStr">
        <is>
          <t>便當配菜 2 份</t>
        </is>
      </c>
      <c r="E221" s="45" t="n">
        <v>4</v>
      </c>
      <c r="F221" s="45" t="n">
        <v>120</v>
      </c>
      <c r="G221" s="45" t="inlineStr">
        <is>
          <t>使用者回報兩樣菜，未提供菜色與份量，先以一般便當兩份配菜估算約蛋白質4g、碳水15g、120 kcal。</t>
        </is>
      </c>
      <c r="H221" s="45" t="n">
        <v>15</v>
      </c>
    </row>
    <row r="222">
      <c r="A222" s="441" t="n">
        <v>46272</v>
      </c>
      <c r="B222" s="42" t="inlineStr">
        <is>
          <t>晚餐</t>
        </is>
      </c>
      <c r="C222" s="36" t="inlineStr">
        <is>
          <t>使用者回報＋一般雞蛋透明估算</t>
        </is>
      </c>
      <c r="D222" s="45" t="inlineStr">
        <is>
          <t>蛋 1 顆</t>
        </is>
      </c>
      <c r="E222" s="45" t="n">
        <v>6.5</v>
      </c>
      <c r="F222" s="45" t="n">
        <v>75</v>
      </c>
      <c r="G222" s="45" t="inlineStr">
        <is>
          <t>未提供烹調方式，先以一般雞蛋1顆估算約蛋白質6.5g、碳水1g、75 kcal。</t>
        </is>
      </c>
      <c r="H222" s="45" t="n">
        <v>1</v>
      </c>
    </row>
    <row r="223">
      <c r="A223" s="441" t="n">
        <v>46272</v>
      </c>
      <c r="B223" s="42" t="inlineStr">
        <is>
          <t>午餐</t>
        </is>
      </c>
      <c r="C223" s="36" t="inlineStr">
        <is>
          <t>使用者回報</t>
        </is>
      </c>
      <c r="D223" s="45" t="inlineStr">
        <is>
          <t>未進食</t>
        </is>
      </c>
      <c r="E223" s="45" t="n">
        <v>0</v>
      </c>
      <c r="F223" s="45" t="n">
        <v>0</v>
      </c>
      <c r="G223" s="45" t="inlineStr">
        <is>
          <t>使用者回報午餐沒吃。</t>
        </is>
      </c>
      <c r="H223" s="45" t="n">
        <v>0</v>
      </c>
    </row>
    <row r="224">
      <c r="A224" s="441" t="n">
        <v>46273</v>
      </c>
      <c r="B224" s="42" t="inlineStr">
        <is>
          <t>早餐</t>
        </is>
      </c>
      <c r="C224" s="36" t="inlineStr">
        <is>
          <t>使用者回報＋既有估算</t>
        </is>
      </c>
      <c r="D224" s="45" t="inlineStr">
        <is>
          <t>7-ELEVEN 30元地瓜</t>
        </is>
      </c>
      <c r="E224" s="45" t="n">
        <v>2.3</v>
      </c>
      <c r="F224" s="45" t="n">
        <v>162</v>
      </c>
      <c r="G224" s="45" t="inlineStr">
        <is>
          <t>沿用 2026-09-07 同款 7-ELEVEN 30元地瓜估算：以約145g計，約蛋白質2.3g、碳水37.7g、162 kcal。</t>
        </is>
      </c>
      <c r="H224" s="45" t="n">
        <v>37.7</v>
      </c>
    </row>
    <row r="225">
      <c r="A225" s="441" t="n">
        <v>46273</v>
      </c>
      <c r="B225" s="42" t="inlineStr">
        <is>
          <t>早餐</t>
        </is>
      </c>
      <c r="C225" s="36" t="inlineStr">
        <is>
          <t>使用者回報＋既有同款紀錄</t>
        </is>
      </c>
      <c r="D225" s="45" t="inlineStr">
        <is>
          <t>7-ELEVEN 21Plus 剝皮辣椒雞胸肉 1 包（145g）</t>
        </is>
      </c>
      <c r="E225" s="45" t="n">
        <v>30</v>
      </c>
      <c r="F225" s="45" t="n">
        <v>163</v>
      </c>
      <c r="G225" s="45" t="inlineStr">
        <is>
          <t>沿用追蹤表先前同款紀錄：約蛋白質30g、163 kcal；未取得可靠碳水標示，因此碳水留白。</t>
        </is>
      </c>
      <c r="H225" s="45" t="inlineStr"/>
    </row>
    <row r="226">
      <c r="A226" s="441" t="n">
        <v>46273</v>
      </c>
      <c r="B226" s="42" t="inlineStr">
        <is>
          <t>早餐</t>
        </is>
      </c>
      <c r="C226" s="36" t="inlineStr">
        <is>
          <t>使用者回報</t>
        </is>
      </c>
      <c r="D226" s="45" t="inlineStr">
        <is>
          <t>額外蛋白質 26g</t>
        </is>
      </c>
      <c r="E226" s="45" t="n">
        <v>26</v>
      </c>
      <c r="F226" s="45" t="inlineStr"/>
      <c r="G226" s="45" t="inlineStr">
        <is>
          <t>使用者回報早餐另外攝取26g蛋白質；未提供來源、品牌、熱量或碳水，因此僅記錄蛋白質。</t>
        </is>
      </c>
      <c r="H226" s="45" t="inlineStr"/>
    </row>
    <row r="227">
      <c r="A227" s="441" t="n">
        <v>46273</v>
      </c>
      <c r="B227" s="42" t="inlineStr">
        <is>
          <t>午餐</t>
        </is>
      </c>
      <c r="C227" s="36" t="inlineStr">
        <is>
          <t>使用者回報</t>
        </is>
      </c>
      <c r="D227" s="45" t="inlineStr">
        <is>
          <t>蛋白飲／額外蛋白質 26g</t>
        </is>
      </c>
      <c r="E227" s="45" t="n">
        <v>26</v>
      </c>
      <c r="F227" s="45" t="inlineStr"/>
      <c r="G227" s="45" t="inlineStr">
        <is>
          <t>使用者回報午餐喝了26g蛋白質；未提供品牌、來源、熱量或碳水，因此僅記錄蛋白質。</t>
        </is>
      </c>
      <c r="H227" s="45" t="inlineStr"/>
    </row>
    <row r="228">
      <c r="A228" s="441" t="n">
        <v>46273</v>
      </c>
      <c r="B228" s="42" t="inlineStr">
        <is>
          <t>晚餐</t>
        </is>
      </c>
      <c r="C228" s="36" t="inlineStr">
        <is>
          <t>使用者回報＋一般台式份量透明估算</t>
        </is>
      </c>
      <c r="D228" s="45" t="inlineStr">
        <is>
          <t>雞肉飯 1 碗</t>
        </is>
      </c>
      <c r="E228" s="45" t="n">
        <v>25</v>
      </c>
      <c r="F228" s="45" t="n">
        <v>500</v>
      </c>
      <c r="G228" s="45" t="inlineStr">
        <is>
          <t>未提供店家與重量，先以一般台式雞肉飯1碗估算約蛋白質25g、碳水65g、500 kcal；實際會依飯量、雞肉量與雞油明顯變動。</t>
        </is>
      </c>
      <c r="H228" s="45" t="n">
        <v>65</v>
      </c>
    </row>
    <row r="229">
      <c r="A229" s="441" t="n">
        <v>46273</v>
      </c>
      <c r="B229" s="42" t="inlineStr">
        <is>
          <t>晚餐</t>
        </is>
      </c>
      <c r="C229" s="36" t="inlineStr">
        <is>
          <t>使用者回報＋一般台式份量透明估算</t>
        </is>
      </c>
      <c r="D229" s="45" t="inlineStr">
        <is>
          <t>豬肝湯 1 碗</t>
        </is>
      </c>
      <c r="E229" s="45" t="n">
        <v>24</v>
      </c>
      <c r="F229" s="45" t="n">
        <v>180</v>
      </c>
      <c r="G229" s="45" t="inlineStr">
        <is>
          <t>未提供店家與豬肝重量，先以一般台式豬肝湯1碗估算約蛋白質24g、碳水4g、180 kcal；實際依豬肝份量與湯底而變動。</t>
        </is>
      </c>
      <c r="H229" s="45" t="n">
        <v>4</v>
      </c>
    </row>
    <row r="230">
      <c r="A230" s="441" t="n">
        <v>46274</v>
      </c>
      <c r="B230" s="42" t="inlineStr">
        <is>
          <t>早餐</t>
        </is>
      </c>
      <c r="C230" s="36" t="inlineStr">
        <is>
          <t>使用者回報＋既有估算</t>
        </is>
      </c>
      <c r="D230" s="45" t="inlineStr">
        <is>
          <t>7-ELEVEN 30元地瓜</t>
        </is>
      </c>
      <c r="E230" s="45" t="n">
        <v>2.3</v>
      </c>
      <c r="F230" s="45" t="n">
        <v>162</v>
      </c>
      <c r="G230" s="45" t="inlineStr">
        <is>
          <t>沿用 2026-09-07 同款 7-ELEVEN 30元地瓜估算：以約145g計，約蛋白質2.3g、碳水37.7g、162 kcal。</t>
        </is>
      </c>
      <c r="H230" s="45" t="n">
        <v>37.7</v>
      </c>
    </row>
    <row r="231">
      <c r="A231" s="441" t="n">
        <v>46274</v>
      </c>
      <c r="B231" s="42" t="inlineStr">
        <is>
          <t>早餐</t>
        </is>
      </c>
      <c r="C231" s="36" t="inlineStr">
        <is>
          <t>使用者回報＋既有同款紀錄</t>
        </is>
      </c>
      <c r="D231" s="45" t="inlineStr">
        <is>
          <t>7-ELEVEN 21Plus 剝皮辣椒雞胸肉 1 包（145g）</t>
        </is>
      </c>
      <c r="E231" s="45" t="n">
        <v>30</v>
      </c>
      <c r="F231" s="45" t="n">
        <v>163</v>
      </c>
      <c r="G231" s="45" t="inlineStr">
        <is>
          <t>沿用追蹤表先前同款紀錄：約蛋白質30g、163 kcal；未取得可靠碳水標示，因此碳水留白。</t>
        </is>
      </c>
      <c r="H231" s="45" t="inlineStr"/>
    </row>
    <row r="232">
      <c r="A232" s="441" t="n">
        <v>46274</v>
      </c>
      <c r="B232" s="42" t="inlineStr">
        <is>
          <t>晚餐</t>
        </is>
      </c>
      <c r="C232" s="36" t="inlineStr">
        <is>
          <t>使用者回報＋一般台式份量透明估算</t>
        </is>
      </c>
      <c r="D232" s="45" t="inlineStr">
        <is>
          <t>牛雜湯 1 碗</t>
        </is>
      </c>
      <c r="E232" s="45" t="n">
        <v>28</v>
      </c>
      <c r="F232" s="45" t="n">
        <v>250</v>
      </c>
      <c r="G232" s="45" t="inlineStr">
        <is>
          <t>未提供店家、牛雜種類與重量，先以一般台式牛雜湯1碗估算約蛋白質28g、碳水5g、250 kcal；實際依牛雜部位、油脂與湯底而變動。</t>
        </is>
      </c>
      <c r="H232" s="45" t="n">
        <v>5</v>
      </c>
    </row>
    <row r="233">
      <c r="A233" s="441" t="n">
        <v>46275</v>
      </c>
      <c r="B233" s="42" t="inlineStr">
        <is>
          <t>早餐</t>
        </is>
      </c>
      <c r="C233" s="36" t="inlineStr">
        <is>
          <t>使用者回報＋既有估算</t>
        </is>
      </c>
      <c r="D233" s="45" t="inlineStr">
        <is>
          <t>7-ELEVEN 30元地瓜</t>
        </is>
      </c>
      <c r="E233" s="45" t="n">
        <v>2.3</v>
      </c>
      <c r="F233" s="45" t="n">
        <v>162</v>
      </c>
      <c r="G233" s="45" t="inlineStr">
        <is>
          <t>沿用先前同款7-ELEVEN 30元地瓜估算：以約145g計，約蛋白質2.3g、碳水37.7g、162 kcal。</t>
        </is>
      </c>
      <c r="H233" s="45" t="n">
        <v>37.7</v>
      </c>
    </row>
    <row r="234">
      <c r="A234" s="441" t="n">
        <v>46275</v>
      </c>
      <c r="B234" s="42" t="inlineStr">
        <is>
          <t>早餐</t>
        </is>
      </c>
      <c r="C234" s="36" t="inlineStr">
        <is>
          <t>使用者回報＋既有同款紀錄</t>
        </is>
      </c>
      <c r="D234" s="45" t="inlineStr">
        <is>
          <t>7-ELEVEN 21Plus 剝皮辣椒雞胸肉 1 包（145g）</t>
        </is>
      </c>
      <c r="E234" s="45" t="n">
        <v>30</v>
      </c>
      <c r="F234" s="45" t="n">
        <v>163</v>
      </c>
      <c r="G234" s="45" t="inlineStr">
        <is>
          <t>沿用追蹤表先前同款紀錄：約蛋白質30g、163 kcal；未取得可靠碳水標示，因此碳水留白。</t>
        </is>
      </c>
      <c r="H234" s="45" t="inlineStr"/>
    </row>
    <row r="235">
      <c r="A235" s="441" t="n">
        <v>46275</v>
      </c>
      <c r="B235" s="42" t="inlineStr">
        <is>
          <t>早餐</t>
        </is>
      </c>
      <c r="C235" s="36" t="inlineStr">
        <is>
          <t>使用者回報</t>
        </is>
      </c>
      <c r="D235" s="45" t="inlineStr">
        <is>
          <t>乳清蛋白 26g蛋白質</t>
        </is>
      </c>
      <c r="E235" s="45" t="n">
        <v>26</v>
      </c>
      <c r="F235" s="45" t="inlineStr"/>
      <c r="G235" s="45" t="inlineStr">
        <is>
          <t>使用者回報早餐另攝取乳清，提供蛋白質26g；未提供品牌、熱量或碳水，因此僅記錄蛋白質。</t>
        </is>
      </c>
      <c r="H235" s="45" t="inlineStr"/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8" customWidth="1" min="3" max="3"/>
    <col width="14" customWidth="1" min="4" max="4"/>
    <col width="12" customWidth="1" min="5" max="5"/>
    <col width="14" customWidth="1" min="6" max="6"/>
    <col width="12" customWidth="1" min="7" max="7"/>
    <col width="48" customWidth="1" min="8" max="8"/>
  </cols>
  <sheetData>
    <row r="1">
      <c r="A1" s="447" t="inlineStr">
        <is>
          <t>日期</t>
        </is>
      </c>
      <c r="B1" s="447" t="inlineStr">
        <is>
          <t>有氧類型</t>
        </is>
      </c>
      <c r="C1" s="447" t="inlineStr">
        <is>
          <t>段次</t>
        </is>
      </c>
      <c r="D1" s="447" t="inlineStr">
        <is>
          <t>時間（分鐘）</t>
        </is>
      </c>
      <c r="E1" s="447" t="inlineStr">
        <is>
          <t>坡度（%）</t>
        </is>
      </c>
      <c r="F1" s="447" t="inlineStr">
        <is>
          <t>速度（km/h）</t>
        </is>
      </c>
      <c r="G1" s="447" t="inlineStr">
        <is>
          <t>距離（km）</t>
        </is>
      </c>
      <c r="H1" s="447" t="inlineStr">
        <is>
          <t>備註</t>
        </is>
      </c>
    </row>
    <row r="2">
      <c r="A2" s="21" t="n">
        <v>46262</v>
      </c>
      <c r="B2" t="inlineStr">
        <is>
          <t>跑步機爬坡</t>
        </is>
      </c>
      <c r="C2" t="n">
        <v>1</v>
      </c>
      <c r="D2" t="n">
        <v>20</v>
      </c>
      <c r="E2" t="n">
        <v>12</v>
      </c>
      <c r="F2" t="n">
        <v>4.1</v>
      </c>
      <c r="H2" t="inlineStr">
        <is>
          <t>使用者回報：爬坡坡度 12、速度 4.1 km/h、20 分鐘；獨立記錄，不併入散步分鐘。</t>
        </is>
      </c>
    </row>
    <row r="3">
      <c r="A3" s="21" t="n">
        <v>46267</v>
      </c>
      <c r="B3" t="inlineStr">
        <is>
          <t>跑步機爬坡</t>
        </is>
      </c>
      <c r="C3" t="n">
        <v>1</v>
      </c>
      <c r="D3" t="n">
        <v>30</v>
      </c>
      <c r="E3" t="n">
        <v>12</v>
      </c>
      <c r="F3" t="n">
        <v>4.1</v>
      </c>
      <c r="H3" t="inlineStr">
        <is>
          <t>使用者回報：爬坡坡度 12、速度 4.1 km/h、30 分鐘；獨立記錄，不併入散步分鐘。</t>
        </is>
      </c>
    </row>
    <row r="4">
      <c r="A4" s="21" t="n">
        <v>46270</v>
      </c>
      <c r="B4" t="inlineStr">
        <is>
          <t>跑步機有氧</t>
        </is>
      </c>
      <c r="C4" t="n">
        <v>1</v>
      </c>
      <c r="D4" t="n">
        <v>20</v>
      </c>
      <c r="E4" t="n">
        <v>1</v>
      </c>
      <c r="F4" t="n">
        <v>3.3</v>
      </c>
      <c r="H4" t="inlineStr">
        <is>
          <t>重訓後跑步機有氧；心率約142 bpm。與日常散步分開記錄，也不與12%高坡度爬坡混為同一強度。</t>
        </is>
      </c>
    </row>
  </sheetData>
  <autoFilter ref="A1:H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30" customWidth="1" min="3" max="3"/>
    <col width="28" customWidth="1" min="4" max="4"/>
    <col width="15" customWidth="1" min="5" max="5"/>
    <col width="20" customWidth="1" min="6" max="6"/>
    <col width="12" customWidth="1" min="7" max="7"/>
    <col width="12" customWidth="1" min="8" max="8"/>
    <col width="80" customWidth="1" min="9" max="9"/>
    <col width="30" customWidth="1" min="10" max="10"/>
    <col width="75" customWidth="1" min="11" max="11"/>
  </cols>
  <sheetData>
    <row r="1">
      <c r="A1" s="448" t="inlineStr">
        <is>
          <t>動作</t>
        </is>
      </c>
      <c r="B1" s="448" t="inlineStr">
        <is>
          <t>建議下次重量（kg）</t>
        </is>
      </c>
      <c r="C1" s="448" t="inlineStr">
        <is>
          <t>建議目標次數</t>
        </is>
      </c>
      <c r="D1" s="448" t="inlineStr">
        <is>
          <t>建議DBR</t>
        </is>
      </c>
      <c r="E1" s="448" t="inlineStr">
        <is>
          <t>最近訓練日期</t>
        </is>
      </c>
      <c r="F1" s="448" t="inlineStr">
        <is>
          <t>最近使用重量（kg）</t>
        </is>
      </c>
      <c r="G1" s="448" t="inlineStr">
        <is>
          <t>最近次數</t>
        </is>
      </c>
      <c r="H1" s="448" t="inlineStr">
        <is>
          <t>最近DBR</t>
        </is>
      </c>
      <c r="I1" s="448" t="inlineStr">
        <is>
          <t>最近訓練摘要</t>
        </is>
      </c>
      <c r="J1" s="448" t="inlineStr">
        <is>
          <t>狀態／注意</t>
        </is>
      </c>
      <c r="K1" s="448" t="inlineStr">
        <is>
          <t>建議依據</t>
        </is>
      </c>
    </row>
    <row r="2">
      <c r="A2" t="inlineStr">
        <is>
          <t>上斜胸推</t>
        </is>
      </c>
      <c r="B2" t="n">
        <v>25</v>
      </c>
      <c r="C2" t="inlineStr">
        <is>
          <t>10–15（特殊動作可依既有表現調整）</t>
        </is>
      </c>
      <c r="D2" t="inlineStr">
        <is>
          <t>1–3；最後一組可視情況 DBR0</t>
        </is>
      </c>
      <c r="E2" t="inlineStr">
        <is>
          <t>2026-09-07</t>
        </is>
      </c>
      <c r="F2" t="n">
        <v>20</v>
      </c>
      <c r="G2" t="n">
        <v>13</v>
      </c>
      <c r="H2" t="n">
        <v>2</v>
      </c>
      <c r="I2" s="449" t="inlineStr">
        <is>
          <t>25kg×15/DBR2；25kg×14/DBR2；15kg×11/DBR2；20kg×13/DBR2</t>
        </is>
      </c>
      <c r="J2" s="449" t="inlineStr">
        <is>
          <t>正常</t>
        </is>
      </c>
      <c r="K2" s="449" t="inlineStr">
        <is>
          <t>最近一次訓練中 25 kg 有 2 組落在約 8–20 下、DBR1–3；以可重複的工作組表現優先，不直接選最高重量。</t>
        </is>
      </c>
    </row>
    <row r="3">
      <c r="A3" t="inlineStr">
        <is>
          <t>划船</t>
        </is>
      </c>
      <c r="B3" t="n">
        <v>26.5</v>
      </c>
      <c r="C3" t="inlineStr">
        <is>
          <t>10–15（特殊動作可依既有表現調整）</t>
        </is>
      </c>
      <c r="D3" t="inlineStr">
        <is>
          <t>1–3；最後一組可視情況 DBR0</t>
        </is>
      </c>
      <c r="E3" t="inlineStr">
        <is>
          <t>2026-09-07</t>
        </is>
      </c>
      <c r="F3" t="n">
        <v>30</v>
      </c>
      <c r="G3" t="n">
        <v>13</v>
      </c>
      <c r="H3" t="n">
        <v>0</v>
      </c>
      <c r="I3" s="449" t="inlineStr">
        <is>
          <t>26.5kg×15/DBR4；26.5kg×15/DBR2；30kg×13/DBR2；30kg×13/DBR0；30kg×13/DBR0</t>
        </is>
      </c>
      <c r="J3" s="449" t="inlineStr">
        <is>
          <t>正常</t>
        </is>
      </c>
      <c r="K3" s="449" t="inlineStr">
        <is>
          <t>最近一次訓練中 26.5 kg 有 1 組落在約 8–20 下、DBR1–3；以可重複的工作組表現優先，不直接選最高重量。</t>
        </is>
      </c>
    </row>
    <row r="4">
      <c r="A4" t="inlineStr">
        <is>
          <t>反向飛鳥</t>
        </is>
      </c>
      <c r="B4" t="n">
        <v>20</v>
      </c>
      <c r="C4" t="inlineStr">
        <is>
          <t>10–15（特殊動作可依既有表現調整）</t>
        </is>
      </c>
      <c r="D4" t="inlineStr">
        <is>
          <t>1–3；最後一組可視情況 DBR0</t>
        </is>
      </c>
      <c r="E4" t="inlineStr">
        <is>
          <t>2026-09-05</t>
        </is>
      </c>
      <c r="F4" t="n">
        <v>15</v>
      </c>
      <c r="G4" t="n">
        <v>12</v>
      </c>
      <c r="H4" t="n">
        <v>0</v>
      </c>
      <c r="I4" s="449" t="inlineStr">
        <is>
          <t>20kg×8/DBR1；15kg×11/DBR1；15kg×12/DBR0</t>
        </is>
      </c>
      <c r="J4" s="449" t="inlineStr">
        <is>
          <t>正常</t>
        </is>
      </c>
      <c r="K4" s="449" t="inlineStr">
        <is>
          <t>最近一次訓練中 20 kg 有 1 組落在約 8–20 下、DBR1–3；以可重複的工作組表現優先，不直接選最高重量。</t>
        </is>
      </c>
    </row>
    <row r="5">
      <c r="A5" t="inlineStr">
        <is>
          <t>啞鈴側平舉</t>
        </is>
      </c>
      <c r="B5" t="n">
        <v>10</v>
      </c>
      <c r="C5" t="inlineStr">
        <is>
          <t>10–15（特殊動作可依既有表現調整）</t>
        </is>
      </c>
      <c r="D5" t="inlineStr">
        <is>
          <t>1–3；最後一組可視情況 DBR0</t>
        </is>
      </c>
      <c r="E5" t="inlineStr">
        <is>
          <t>2026-09-07</t>
        </is>
      </c>
      <c r="F5" t="n">
        <v>10</v>
      </c>
      <c r="G5" t="n">
        <v>15</v>
      </c>
      <c r="H5" t="n">
        <v>0</v>
      </c>
      <c r="I5" s="449" t="inlineStr">
        <is>
          <t>10kg×15/DBR1；10kg×13/DBR1；10kg×14/DBR1；10kg×15/DBR0</t>
        </is>
      </c>
      <c r="J5" s="449" t="inlineStr">
        <is>
          <t>正常</t>
        </is>
      </c>
      <c r="K5" s="449" t="inlineStr">
        <is>
          <t>最近一次訓練中 10 kg 有 3 組落在約 8–20 下、DBR1–3；以可重複的工作組表現優先，不直接選最高重量。</t>
        </is>
      </c>
    </row>
    <row r="6">
      <c r="A6" t="inlineStr">
        <is>
          <t>滑輪下拉</t>
        </is>
      </c>
      <c r="B6" t="n">
        <v>37.5</v>
      </c>
      <c r="C6" t="inlineStr">
        <is>
          <t>10–15（特殊動作可依既有表現調整）</t>
        </is>
      </c>
      <c r="D6" t="inlineStr">
        <is>
          <t>1–3；最後一組可視情況 DBR0</t>
        </is>
      </c>
      <c r="E6" t="inlineStr">
        <is>
          <t>2026-09-05</t>
        </is>
      </c>
      <c r="F6" t="n">
        <v>37.5</v>
      </c>
      <c r="G6" t="n">
        <v>12</v>
      </c>
      <c r="H6" t="n">
        <v>1</v>
      </c>
      <c r="I6" s="449" t="inlineStr">
        <is>
          <t>30kg×15/DBR4；37.5kg×14/DBR2；37.5kg×12/DBR2；37.5kg×12/DBR1</t>
        </is>
      </c>
      <c r="J6" s="449" t="inlineStr">
        <is>
          <t>正常</t>
        </is>
      </c>
      <c r="K6" s="449" t="inlineStr">
        <is>
          <t>最近一次訓練中 37.5 kg 有 3 組落在約 8–20 下、DBR1–3；以可重複的工作組表現優先，不直接選最高重量。</t>
        </is>
      </c>
    </row>
    <row r="7">
      <c r="A7" t="inlineStr">
        <is>
          <t>睾丸繩下拉</t>
        </is>
      </c>
      <c r="B7" t="n">
        <v>6.25</v>
      </c>
      <c r="C7" t="inlineStr">
        <is>
          <t>10–15（特殊動作可依既有表現調整）</t>
        </is>
      </c>
      <c r="D7" t="inlineStr">
        <is>
          <t>1–3；最後一組可視情況 DBR0</t>
        </is>
      </c>
      <c r="E7" t="inlineStr">
        <is>
          <t>2026-08-14</t>
        </is>
      </c>
      <c r="F7" t="n">
        <v>6.25</v>
      </c>
      <c r="G7" t="n">
        <v>11</v>
      </c>
      <c r="H7" t="n">
        <v>0</v>
      </c>
      <c r="I7" s="449" t="inlineStr">
        <is>
          <t>8.75kg×11/DBR0；8.75kg×10/DBR0；6.25kg×13/DBR0；6.25kg×13/DBR0；6.25kg×11/DBR0</t>
        </is>
      </c>
      <c r="J7" s="449" t="inlineStr">
        <is>
          <t>正常</t>
        </is>
      </c>
      <c r="K7" s="449" t="inlineStr">
        <is>
          <t>最近一次已知組多為力竭；下次採該次較低重量重新建立 DBR1–3 的工作組。</t>
        </is>
      </c>
    </row>
    <row r="8">
      <c r="A8" t="inlineStr">
        <is>
          <t>羅馬尼亞分腿蹲</t>
        </is>
      </c>
      <c r="B8" t="n">
        <v>10</v>
      </c>
      <c r="C8" t="inlineStr">
        <is>
          <t>10–15（特殊動作可依既有表現調整）</t>
        </is>
      </c>
      <c r="D8" t="inlineStr">
        <is>
          <t>1–3；最後一組可視情況 DBR0</t>
        </is>
      </c>
      <c r="E8" t="inlineStr">
        <is>
          <t>2026-09-05</t>
        </is>
      </c>
      <c r="F8" t="n">
        <v>10</v>
      </c>
      <c r="G8" t="n">
        <v>11</v>
      </c>
      <c r="H8" t="n">
        <v>1</v>
      </c>
      <c r="I8" s="449" t="inlineStr">
        <is>
          <t>左10kg×15/DBR3；右10kg×15/DBR3；左10kg×15/DBR2；右10kg×15/DBR2；左10kg×15/DBR1；右10kg×11/DBR1；左10kg×11/DBR2；右10kg×11/DBR1</t>
        </is>
      </c>
      <c r="J8" s="449" t="inlineStr">
        <is>
          <t>正常</t>
        </is>
      </c>
      <c r="K8" s="449" t="inlineStr">
        <is>
          <t>最近一次訓練中 10 kg 有 8 組落在約 8–20 下、DBR1–3；以可重複的工作組表現優先，不直接選最高重量。</t>
        </is>
      </c>
    </row>
    <row r="9">
      <c r="A9" t="inlineStr">
        <is>
          <t>羅馬尼亞蹲</t>
        </is>
      </c>
      <c r="B9" t="n">
        <v>5</v>
      </c>
      <c r="C9" t="inlineStr">
        <is>
          <t>10–15（特殊動作可依既有表現調整）</t>
        </is>
      </c>
      <c r="D9" t="inlineStr">
        <is>
          <t>1–3；最後一組可視情況 DBR0</t>
        </is>
      </c>
      <c r="E9" t="inlineStr">
        <is>
          <t>2026-08-12</t>
        </is>
      </c>
      <c r="F9" t="n">
        <v>5</v>
      </c>
      <c r="G9" t="n">
        <v>14</v>
      </c>
      <c r="H9" t="n">
        <v>0</v>
      </c>
      <c r="I9" s="449" t="inlineStr">
        <is>
          <t>左自重×15/DBR3；右自重×15/DBR3；左5kg×15/DBR2；右5kg×8/DBR0；左5kg×14/DBR0；右5kg×14/DBR0；左5kg×14/DBR0；右5kg×14/DBR0</t>
        </is>
      </c>
      <c r="J9" s="449" t="inlineStr">
        <is>
          <t>正常</t>
        </is>
      </c>
      <c r="K9" s="449" t="inlineStr">
        <is>
          <t>最近一次訓練中 5 kg 有 1 組落在約 8–20 下、DBR1–3；以可重複的工作組表現優先，不直接選最高重量。</t>
        </is>
      </c>
    </row>
    <row r="10">
      <c r="A10" t="inlineStr">
        <is>
          <t>腿內收</t>
        </is>
      </c>
      <c r="B10" t="n">
        <v>37.5</v>
      </c>
      <c r="C10" t="inlineStr">
        <is>
          <t>10–15（特殊動作可依既有表現調整）</t>
        </is>
      </c>
      <c r="D10" t="inlineStr">
        <is>
          <t>1–3；最後一組可視情況 DBR0</t>
        </is>
      </c>
      <c r="E10" t="inlineStr">
        <is>
          <t>2026-09-05</t>
        </is>
      </c>
      <c r="F10" t="n">
        <v>37.5</v>
      </c>
      <c r="G10" t="n">
        <v>15</v>
      </c>
      <c r="H10" t="n">
        <v>0</v>
      </c>
      <c r="I10" s="449" t="inlineStr">
        <is>
          <t>37.5kg×13/DBR2；37.5kg×14/DBR2；37.5kg×15/DBR0</t>
        </is>
      </c>
      <c r="J10" s="449" t="inlineStr">
        <is>
          <t>正常</t>
        </is>
      </c>
      <c r="K10" s="449" t="inlineStr">
        <is>
          <t>最近一次訓練中 37.5 kg 有 2 組落在約 8–20 下、DBR1–3；以可重複的工作組表現優先，不直接選最高重量。</t>
        </is>
      </c>
    </row>
    <row r="11">
      <c r="A11" t="inlineStr">
        <is>
          <t>腿外展</t>
        </is>
      </c>
      <c r="B11" t="n">
        <v>45</v>
      </c>
      <c r="C11" t="inlineStr">
        <is>
          <t>10–15（特殊動作可依既有表現調整）</t>
        </is>
      </c>
      <c r="D11" t="inlineStr">
        <is>
          <t>1–3；最後一組可視情況 DBR0</t>
        </is>
      </c>
      <c r="E11" t="inlineStr">
        <is>
          <t>2026-09-07</t>
        </is>
      </c>
      <c r="F11" t="n">
        <v>45</v>
      </c>
      <c r="G11" t="n">
        <v>15</v>
      </c>
      <c r="H11" t="n">
        <v>2</v>
      </c>
      <c r="I11" s="449" t="inlineStr">
        <is>
          <t>40.8kg×15/DBR4；48.75kg×15/DBR1；45kg×15/DBR1；45kg×12/DBR2；45kg×15/DBR2</t>
        </is>
      </c>
      <c r="J11" s="449" t="inlineStr">
        <is>
          <t>正常</t>
        </is>
      </c>
      <c r="K11" s="449" t="inlineStr">
        <is>
          <t>最近一次訓練中 45 kg 有 3 組落在約 8–20 下、DBR1–3；以可重複的工作組表現優先，不直接選最高重量。</t>
        </is>
      </c>
    </row>
    <row r="12">
      <c r="A12" t="inlineStr">
        <is>
          <t>腿後勾</t>
        </is>
      </c>
      <c r="B12" t="n">
        <v>47</v>
      </c>
      <c r="C12" t="inlineStr">
        <is>
          <t>10–15（特殊動作可依既有表現調整）</t>
        </is>
      </c>
      <c r="D12" t="inlineStr">
        <is>
          <t>1–3；最後一組可視情況 DBR0</t>
        </is>
      </c>
      <c r="E12" t="inlineStr">
        <is>
          <t>2026-09-07</t>
        </is>
      </c>
      <c r="F12" t="n">
        <v>47</v>
      </c>
      <c r="G12" t="n">
        <v>13</v>
      </c>
      <c r="H12" t="n">
        <v>0</v>
      </c>
      <c r="I12" s="449" t="inlineStr">
        <is>
          <t>40kg×15/DBR3；47kg×15/DBR1；47kg×12/DBR1；47kg×13/DBR0</t>
        </is>
      </c>
      <c r="J12" s="449" t="inlineStr">
        <is>
          <t>正常</t>
        </is>
      </c>
      <c r="K12" s="449" t="inlineStr">
        <is>
          <t>最近一次訓練中 47 kg 有 2 組落在約 8–20 下、DBR1–3；以可重複的工作組表現優先，不直接選最高重量。</t>
        </is>
      </c>
    </row>
    <row r="13">
      <c r="A13" t="inlineStr">
        <is>
          <t>腿推舉</t>
        </is>
      </c>
      <c r="B13" t="n">
        <v>40</v>
      </c>
      <c r="C13" t="inlineStr">
        <is>
          <t>10–15（特殊動作可依既有表現調整）</t>
        </is>
      </c>
      <c r="D13" t="inlineStr">
        <is>
          <t>1–3；最後一組可視情況 DBR0</t>
        </is>
      </c>
      <c r="E13" t="inlineStr">
        <is>
          <t>2026-08-04</t>
        </is>
      </c>
      <c r="F13" t="n">
        <v>40</v>
      </c>
      <c r="G13" t="n">
        <v>16</v>
      </c>
      <c r="H13" t="n">
        <v>0</v>
      </c>
      <c r="I13" s="449" t="inlineStr">
        <is>
          <t>40kg×16/DBR3；40kg×18/DBR2；40kg×16/DBR1；40kg×16/DBR0</t>
        </is>
      </c>
      <c r="J13" s="449" t="inlineStr">
        <is>
          <t>正常</t>
        </is>
      </c>
      <c r="K13" s="449" t="inlineStr">
        <is>
          <t>最近一次訓練中 40 kg 有 3 組落在約 8–20 下、DBR1–3；以可重複的工作組表現優先，不直接選最高重量。</t>
        </is>
      </c>
    </row>
    <row r="14">
      <c r="A14" t="inlineStr">
        <is>
          <t>臀推機</t>
        </is>
      </c>
      <c r="B14" t="inlineStr"/>
      <c r="C14" t="inlineStr">
        <is>
          <t>10–15（特殊動作可依既有表現調整）</t>
        </is>
      </c>
      <c r="D14" t="inlineStr">
        <is>
          <t>1–3；最後一組可視情況 DBR0</t>
        </is>
      </c>
      <c r="E14" t="inlineStr">
        <is>
          <t>2026-08-28</t>
        </is>
      </c>
      <c r="F14" t="n">
        <v>20</v>
      </c>
      <c r="G14" t="n">
        <v>12</v>
      </c>
      <c r="H14" t="n">
        <v>2</v>
      </c>
      <c r="I14" s="449" t="inlineStr">
        <is>
          <t>20kg×12/DBR3；20kg×12/DBR2；20kg×12/DBR2</t>
        </is>
      </c>
      <c r="J14" s="449" t="inlineStr">
        <is>
          <t>疼痛／不適：暫不自動推薦重量</t>
        </is>
      </c>
      <c r="K14" s="449" t="inlineStr">
        <is>
          <t>最近一次訓練備註出現疼痛／不適；保留歷史重量，但下次先確認無痛，不依重量基準直接加載。</t>
        </is>
      </c>
    </row>
    <row r="15">
      <c r="A15" t="inlineStr">
        <is>
          <t>蝴蝶機夾胸</t>
        </is>
      </c>
      <c r="B15" t="n">
        <v>25</v>
      </c>
      <c r="C15" t="inlineStr">
        <is>
          <t>10–15（特殊動作可依既有表現調整）</t>
        </is>
      </c>
      <c r="D15" t="inlineStr">
        <is>
          <t>1–3；最後一組可視情況 DBR0</t>
        </is>
      </c>
      <c r="E15" t="inlineStr">
        <is>
          <t>2026-08-12</t>
        </is>
      </c>
      <c r="F15" t="n">
        <v>20</v>
      </c>
      <c r="G15" t="n">
        <v>13</v>
      </c>
      <c r="H15" t="n">
        <v>0</v>
      </c>
      <c r="I15" s="449" t="inlineStr">
        <is>
          <t>25kg×15/DBR3；20kg×15/DBR0；25kg×7/DBR0；20kg×13/DBR0</t>
        </is>
      </c>
      <c r="J15" s="449" t="inlineStr">
        <is>
          <t>正常</t>
        </is>
      </c>
      <c r="K15" s="449" t="inlineStr">
        <is>
          <t>最近一次訓練中 25 kg 有 1 組落在約 8–20 下、DBR1–3；以可重複的工作組表現優先，不直接選最高重量。</t>
        </is>
      </c>
    </row>
    <row r="16">
      <c r="A16" t="inlineStr">
        <is>
          <t>飛鳥夾胸</t>
        </is>
      </c>
      <c r="B16" t="n">
        <v>20</v>
      </c>
      <c r="C16" t="inlineStr">
        <is>
          <t>10–15（特殊動作可依既有表現調整）</t>
        </is>
      </c>
      <c r="D16" t="inlineStr">
        <is>
          <t>1–3；最後一組可視情況 DBR0</t>
        </is>
      </c>
      <c r="E16" t="inlineStr">
        <is>
          <t>2026-08-28</t>
        </is>
      </c>
      <c r="F16" t="n">
        <v>20</v>
      </c>
      <c r="G16" t="n">
        <v>10</v>
      </c>
      <c r="H16" t="n">
        <v>0</v>
      </c>
      <c r="I16" s="449" t="inlineStr">
        <is>
          <t>20kg×15/DBR3；20kg×14/DBR2；20kg×12/DBR1；20kg×10/DBR0</t>
        </is>
      </c>
      <c r="J16" s="449" t="inlineStr">
        <is>
          <t>正常</t>
        </is>
      </c>
      <c r="K16" s="449" t="inlineStr">
        <is>
          <t>最近一次訓練中 20 kg 有 3 組落在約 8–20 下、DBR1–3；以可重複的工作組表現優先，不直接選最高重量。</t>
        </is>
      </c>
    </row>
  </sheetData>
  <autoFilter ref="A1:K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2026-09-10T02:04:02Z</dcterms:modified>
</cp:coreProperties>
</file>