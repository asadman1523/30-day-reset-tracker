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n"/>
      <c r="C11" s="40" t="n"/>
      <c r="D11" s="40" t="n"/>
      <c r="E11" s="44" t="n"/>
      <c r="F11" s="44" t="n"/>
      <c r="G11" s="40">
        <f>IF(COUNTIF('重訓紀錄'!$A$5:$A$304,A11)&gt;0,"是",IF(B11="","","否"))</f>
        <v/>
      </c>
      <c r="H11" s="40" t="n"/>
      <c r="I11" s="40" t="n"/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/>
      <c r="B38" s="34" t="n"/>
      <c r="C38" s="34" t="n"/>
      <c r="D38" s="410" t="n"/>
      <c r="E38" s="411" t="n"/>
      <c r="F38" s="411" t="n"/>
      <c r="G38" s="411" t="n"/>
      <c r="H38" s="412">
        <f>IF(OR(E38="",F38=""),"",E38*F38)</f>
        <v/>
      </c>
      <c r="I38" s="44" t="n"/>
    </row>
    <row r="39">
      <c r="A39" s="403" t="n"/>
      <c r="B39" s="34" t="n"/>
      <c r="C39" s="34" t="n"/>
      <c r="D39" s="410" t="n"/>
      <c r="E39" s="411" t="n"/>
      <c r="F39" s="411" t="n"/>
      <c r="G39" s="411" t="n"/>
      <c r="H39" s="412">
        <f>IF(OR(E39="",F39=""),"",E39*F39)</f>
        <v/>
      </c>
      <c r="I39" s="44" t="n"/>
    </row>
    <row r="40">
      <c r="A40" s="403" t="n"/>
      <c r="B40" s="34" t="n"/>
      <c r="C40" s="34" t="n"/>
      <c r="D40" s="410" t="n"/>
      <c r="E40" s="411" t="n"/>
      <c r="F40" s="411" t="n"/>
      <c r="G40" s="411" t="n"/>
      <c r="H40" s="412">
        <f>IF(OR(E40="",F40=""),"",E40*F40)</f>
        <v/>
      </c>
      <c r="I40" s="44" t="n"/>
    </row>
    <row r="41">
      <c r="A41" s="403" t="n"/>
      <c r="B41" s="34" t="n"/>
      <c r="C41" s="34" t="n"/>
      <c r="D41" s="410" t="n"/>
      <c r="E41" s="411" t="n"/>
      <c r="F41" s="411" t="n"/>
      <c r="G41" s="411" t="n"/>
      <c r="H41" s="412">
        <f>IF(OR(E41="",F41=""),"",E41*F41)</f>
        <v/>
      </c>
      <c r="I41" s="44" t="n"/>
    </row>
    <row r="42">
      <c r="A42" s="403" t="n"/>
      <c r="B42" s="34" t="n"/>
      <c r="C42" s="34" t="n"/>
      <c r="D42" s="410" t="n"/>
      <c r="E42" s="411" t="n"/>
      <c r="F42" s="411" t="n"/>
      <c r="G42" s="411" t="n"/>
      <c r="H42" s="412">
        <f>IF(OR(E42="",F42=""),"",E42*F42)</f>
        <v/>
      </c>
      <c r="I42" s="44" t="n"/>
    </row>
    <row r="43">
      <c r="A43" s="403" t="n"/>
      <c r="B43" s="34" t="n"/>
      <c r="C43" s="34" t="n"/>
      <c r="D43" s="410" t="n"/>
      <c r="E43" s="411" t="n"/>
      <c r="F43" s="411" t="n"/>
      <c r="G43" s="411" t="n"/>
      <c r="H43" s="412">
        <f>IF(OR(E43="",F43=""),"",E43*F43)</f>
        <v/>
      </c>
      <c r="I43" s="44" t="n"/>
    </row>
    <row r="44">
      <c r="A44" s="403" t="n"/>
      <c r="B44" s="34" t="n"/>
      <c r="C44" s="34" t="n"/>
      <c r="D44" s="410" t="n"/>
      <c r="E44" s="411" t="n"/>
      <c r="F44" s="411" t="n"/>
      <c r="G44" s="411" t="n"/>
      <c r="H44" s="412">
        <f>IF(OR(E44="",F44=""),"",E44*F44)</f>
        <v/>
      </c>
      <c r="I44" s="44" t="n"/>
    </row>
    <row r="45">
      <c r="A45" s="403" t="n"/>
      <c r="B45" s="34" t="n"/>
      <c r="C45" s="34" t="n"/>
      <c r="D45" s="410" t="n"/>
      <c r="E45" s="411" t="n"/>
      <c r="F45" s="411" t="n"/>
      <c r="G45" s="411" t="n"/>
      <c r="H45" s="412">
        <f>IF(OR(E45="",F45=""),"",E45*F45)</f>
        <v/>
      </c>
      <c r="I45" s="44" t="n"/>
    </row>
    <row r="46">
      <c r="A46" s="403" t="n"/>
      <c r="B46" s="34" t="n"/>
      <c r="C46" s="34" t="n"/>
      <c r="D46" s="410" t="n"/>
      <c r="E46" s="411" t="n"/>
      <c r="F46" s="411" t="n"/>
      <c r="G46" s="411" t="n"/>
      <c r="H46" s="412">
        <f>IF(OR(E46="",F46=""),"",E46*F46)</f>
        <v/>
      </c>
      <c r="I46" s="44" t="n"/>
    </row>
    <row r="47">
      <c r="A47" s="403" t="n"/>
      <c r="B47" s="34" t="n"/>
      <c r="C47" s="34" t="n"/>
      <c r="D47" s="410" t="n"/>
      <c r="E47" s="411" t="n"/>
      <c r="F47" s="411" t="n"/>
      <c r="G47" s="411" t="n"/>
      <c r="H47" s="412">
        <f>IF(OR(E47="",F47=""),"",E47*F47)</f>
        <v/>
      </c>
      <c r="I47" s="44" t="n"/>
    </row>
    <row r="48">
      <c r="A48" s="403" t="n"/>
      <c r="B48" s="34" t="n"/>
      <c r="C48" s="34" t="n"/>
      <c r="D48" s="410" t="n"/>
      <c r="E48" s="411" t="n"/>
      <c r="F48" s="411" t="n"/>
      <c r="G48" s="411" t="n"/>
      <c r="H48" s="412">
        <f>IF(OR(E48="",F48=""),"",E48*F48)</f>
        <v/>
      </c>
      <c r="I48" s="44" t="n"/>
    </row>
    <row r="49">
      <c r="A49" s="403" t="n"/>
      <c r="B49" s="34" t="n"/>
      <c r="C49" s="34" t="n"/>
      <c r="D49" s="410" t="n"/>
      <c r="E49" s="411" t="n"/>
      <c r="F49" s="411" t="n"/>
      <c r="G49" s="411" t="n"/>
      <c r="H49" s="412">
        <f>IF(OR(E49="",F49=""),"",E49*F49)</f>
        <v/>
      </c>
      <c r="I49" s="44" t="n"/>
    </row>
    <row r="50">
      <c r="A50" s="403" t="n"/>
      <c r="B50" s="34" t="n"/>
      <c r="C50" s="34" t="n"/>
      <c r="D50" s="410" t="n"/>
      <c r="E50" s="411" t="n"/>
      <c r="F50" s="411" t="n"/>
      <c r="G50" s="411" t="n"/>
      <c r="H50" s="412">
        <f>IF(OR(E50="",F50=""),"",E50*F50)</f>
        <v/>
      </c>
      <c r="I50" s="44" t="n"/>
    </row>
    <row r="51">
      <c r="A51" s="403" t="n"/>
      <c r="B51" s="34" t="n"/>
      <c r="C51" s="34" t="n"/>
      <c r="D51" s="410" t="n"/>
      <c r="E51" s="411" t="n"/>
      <c r="F51" s="411" t="n"/>
      <c r="G51" s="411" t="n"/>
      <c r="H51" s="412">
        <f>IF(OR(E51="",F51=""),"",E51*F51)</f>
        <v/>
      </c>
      <c r="I51" s="44" t="n"/>
    </row>
    <row r="52">
      <c r="A52" s="403" t="n"/>
      <c r="B52" s="34" t="n"/>
      <c r="C52" s="34" t="n"/>
      <c r="D52" s="410" t="n"/>
      <c r="E52" s="411" t="n"/>
      <c r="F52" s="411" t="n"/>
      <c r="G52" s="411" t="n"/>
      <c r="H52" s="412">
        <f>IF(OR(E52="",F52=""),"",E52*F52)</f>
        <v/>
      </c>
      <c r="I52" s="44" t="n"/>
    </row>
    <row r="53">
      <c r="A53" s="403" t="n"/>
      <c r="B53" s="34" t="n"/>
      <c r="C53" s="34" t="n"/>
      <c r="D53" s="410" t="n"/>
      <c r="E53" s="411" t="n"/>
      <c r="F53" s="411" t="n"/>
      <c r="G53" s="411" t="n"/>
      <c r="H53" s="412">
        <f>IF(OR(E53="",F53=""),"",E53*F53)</f>
        <v/>
      </c>
      <c r="I53" s="44" t="n"/>
    </row>
    <row r="54">
      <c r="A54" s="403" t="n"/>
      <c r="B54" s="34" t="n"/>
      <c r="C54" s="34" t="n"/>
      <c r="D54" s="410" t="n"/>
      <c r="E54" s="411" t="n"/>
      <c r="F54" s="411" t="n"/>
      <c r="G54" s="411" t="n"/>
      <c r="H54" s="412">
        <f>IF(OR(E54="",F54=""),"",E54*F54)</f>
        <v/>
      </c>
      <c r="I54" s="44" t="n"/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牛肉飯特大碗（飯未吃到一半）</t>
        </is>
      </c>
      <c r="E111" s="45" t="n">
        <v>35</v>
      </c>
      <c r="F111" s="45" t="n">
        <v>750</v>
      </c>
      <c r="G111" s="45" t="inlineStr">
        <is>
          <t>估算：特大碗牛肉飯但白飯實際吃不到一半；未提供店家與實際肉量，按較多牛肉、少於半份飯估算約蛋白質 35 g、碳水 50 g、750 kcal。</t>
        </is>
      </c>
      <c r="H111" s="45" t="n">
        <v>50</v>
      </c>
    </row>
    <row r="112">
      <c r="A112" s="441" t="n">
        <v>46244</v>
      </c>
      <c r="B112" s="42" t="inlineStr">
        <is>
          <t>晚餐</t>
        </is>
      </c>
      <c r="C112" s="36" t="inlineStr"/>
      <c r="D112" s="45" t="inlineStr">
        <is>
          <t>乳清蛋白粉 60g</t>
        </is>
      </c>
      <c r="E112" s="45" t="n">
        <v>45</v>
      </c>
      <c r="F112" s="45" t="n">
        <v>240</v>
      </c>
      <c r="G112" s="45" t="inlineStr">
        <is>
          <t>估算：沿用既有乳清設定，60 g 乳清約蛋白質 45 g、碳水 6 g、240 kcal；未提供品牌營養標示。</t>
        </is>
      </c>
      <c r="H112" s="45" t="n">
        <v>6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2026-08-10T12:19:30Z</dcterms:modified>
</cp:coreProperties>
</file>