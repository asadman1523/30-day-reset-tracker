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'動作基準'!$A$1:$K$19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2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164" fontId="0" fillId="59" borderId="7" applyAlignment="1" pivotButton="0" quotePrefix="0" xfId="0">
      <alignment horizontal="center" vertical="center" wrapText="1"/>
    </xf>
    <xf numFmtId="0" fontId="8" fillId="58" borderId="5" applyAlignment="1" pivotButton="0" quotePrefix="0" xfId="0">
      <alignment horizontal="center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  <row r="39">
      <c r="A39" s="450" t="n">
        <v>46276</v>
      </c>
      <c r="B39" s="451" t="n"/>
      <c r="C39" s="222" t="n"/>
      <c r="D39" s="218" t="n"/>
      <c r="E39" s="44" t="n"/>
      <c r="F39" s="44" t="n"/>
      <c r="G39" s="218" t="n"/>
      <c r="H39" s="218" t="n">
        <v>20</v>
      </c>
      <c r="I39" s="218" t="n"/>
      <c r="J39" s="215" t="n"/>
    </row>
    <row r="40">
      <c r="A40" s="450" t="n">
        <v>46278</v>
      </c>
      <c r="B40" s="451" t="n"/>
      <c r="C40" s="222" t="n"/>
      <c r="D40" s="218" t="n"/>
      <c r="E40" s="44" t="n"/>
      <c r="F40" s="44" t="n"/>
      <c r="G40" s="218" t="inlineStr">
        <is>
          <t>否</t>
        </is>
      </c>
      <c r="H40" s="218" t="n">
        <v>0</v>
      </c>
      <c r="I40" s="218" t="n"/>
      <c r="J40" s="215" t="n"/>
    </row>
    <row r="41">
      <c r="A41" s="450" t="n">
        <v>46279</v>
      </c>
      <c r="B41" s="451" t="n"/>
      <c r="C41" s="222" t="n"/>
      <c r="D41" s="218" t="n"/>
      <c r="E41" s="44" t="n"/>
      <c r="F41" s="44" t="n"/>
      <c r="G41" s="218" t="n"/>
      <c r="H41" s="218" t="n">
        <v>0</v>
      </c>
      <c r="I41" s="218" t="n"/>
      <c r="J41" s="215" t="n"/>
    </row>
    <row r="42">
      <c r="A42" s="450" t="n">
        <v>46280</v>
      </c>
      <c r="B42" s="451" t="n"/>
      <c r="C42" s="222" t="n"/>
      <c r="D42" s="218" t="n"/>
      <c r="E42" s="44" t="n"/>
      <c r="F42" s="44" t="n"/>
      <c r="G42" s="218" t="inlineStr">
        <is>
          <t>是</t>
        </is>
      </c>
      <c r="H42" s="218" t="n">
        <v>0</v>
      </c>
      <c r="I42" s="218" t="n"/>
      <c r="J42" s="215" t="n"/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>
        <v>46272</v>
      </c>
      <c r="B166" s="34" t="inlineStr">
        <is>
          <t>重訓</t>
        </is>
      </c>
      <c r="C166" s="34" t="inlineStr">
        <is>
          <t>腿後勾</t>
        </is>
      </c>
      <c r="D166" s="410" t="n">
        <v>1</v>
      </c>
      <c r="E166" s="411" t="n">
        <v>40</v>
      </c>
      <c r="F166" s="411" t="n">
        <v>15</v>
      </c>
      <c r="G166" s="411" t="n">
        <v>3</v>
      </c>
      <c r="H166" s="412">
        <f>IF(OR(E166="",F166=""),"",E166*F166)</f>
        <v/>
      </c>
      <c r="I166" s="44" t="inlineStr">
        <is>
          <t>使用者回報。</t>
        </is>
      </c>
    </row>
    <row r="167">
      <c r="A167" s="403" t="n">
        <v>46272</v>
      </c>
      <c r="B167" s="34" t="inlineStr">
        <is>
          <t>重訓</t>
        </is>
      </c>
      <c r="C167" s="34" t="inlineStr">
        <is>
          <t>腿後勾</t>
        </is>
      </c>
      <c r="D167" s="410" t="n">
        <v>2</v>
      </c>
      <c r="E167" s="411" t="n">
        <v>47</v>
      </c>
      <c r="F167" s="411" t="n">
        <v>15</v>
      </c>
      <c r="G167" s="411" t="n">
        <v>1</v>
      </c>
      <c r="H167" s="412">
        <f>IF(OR(E167="",F167=""),"",E167*F167)</f>
        <v/>
      </c>
      <c r="I167" s="44" t="inlineStr">
        <is>
          <t>使用者回報。</t>
        </is>
      </c>
    </row>
    <row r="168">
      <c r="A168" s="403" t="n">
        <v>46272</v>
      </c>
      <c r="B168" s="34" t="inlineStr">
        <is>
          <t>重訓</t>
        </is>
      </c>
      <c r="C168" s="34" t="inlineStr">
        <is>
          <t>腿後勾</t>
        </is>
      </c>
      <c r="D168" s="410" t="n">
        <v>3</v>
      </c>
      <c r="E168" s="411" t="n">
        <v>47</v>
      </c>
      <c r="F168" s="411" t="n">
        <v>12</v>
      </c>
      <c r="G168" s="411" t="n">
        <v>1</v>
      </c>
      <c r="H168" s="412">
        <f>IF(OR(E168="",F168=""),"",E168*F168)</f>
        <v/>
      </c>
      <c r="I168" s="44" t="inlineStr">
        <is>
          <t>使用者回報。</t>
        </is>
      </c>
    </row>
    <row r="169">
      <c r="A169" s="403" t="n">
        <v>46272</v>
      </c>
      <c r="B169" s="34" t="inlineStr">
        <is>
          <t>重訓</t>
        </is>
      </c>
      <c r="C169" s="34" t="inlineStr">
        <is>
          <t>腿後勾</t>
        </is>
      </c>
      <c r="D169" s="410" t="n">
        <v>4</v>
      </c>
      <c r="E169" s="411" t="n">
        <v>47</v>
      </c>
      <c r="F169" s="411" t="n">
        <v>13</v>
      </c>
      <c r="G169" s="411" t="n">
        <v>0</v>
      </c>
      <c r="H169" s="412">
        <f>IF(OR(E169="",F169=""),"",E169*F169)</f>
        <v/>
      </c>
      <c r="I169" s="44" t="inlineStr">
        <is>
          <t>使用者回報。</t>
        </is>
      </c>
    </row>
    <row r="170">
      <c r="A170" s="403" t="n">
        <v>46272</v>
      </c>
      <c r="B170" s="34" t="inlineStr">
        <is>
          <t>重訓</t>
        </is>
      </c>
      <c r="C170" s="34" t="inlineStr">
        <is>
          <t>腿外展</t>
        </is>
      </c>
      <c r="D170" s="410" t="n">
        <v>1</v>
      </c>
      <c r="E170" s="411" t="n">
        <v>40.8</v>
      </c>
      <c r="F170" s="411" t="n">
        <v>15</v>
      </c>
      <c r="G170" s="411" t="n">
        <v>4</v>
      </c>
      <c r="H170" s="412">
        <f>IF(OR(E170="",F170=""),"",E170*F170)</f>
        <v/>
      </c>
      <c r="I170" s="44" t="inlineStr">
        <is>
          <t>使用者回報。</t>
        </is>
      </c>
    </row>
    <row r="171">
      <c r="A171" s="403" t="n">
        <v>46272</v>
      </c>
      <c r="B171" s="34" t="inlineStr">
        <is>
          <t>重訓</t>
        </is>
      </c>
      <c r="C171" s="34" t="inlineStr">
        <is>
          <t>腿外展</t>
        </is>
      </c>
      <c r="D171" s="410" t="n">
        <v>2</v>
      </c>
      <c r="E171" s="411" t="n">
        <v>48.75</v>
      </c>
      <c r="F171" s="411" t="n">
        <v>15</v>
      </c>
      <c r="G171" s="411" t="n">
        <v>1</v>
      </c>
      <c r="H171" s="412">
        <f>IF(OR(E171="",F171=""),"",E171*F171)</f>
        <v/>
      </c>
      <c r="I171" s="44" t="inlineStr">
        <is>
          <t>使用者回報。</t>
        </is>
      </c>
    </row>
    <row r="172">
      <c r="A172" s="403" t="n">
        <v>46272</v>
      </c>
      <c r="B172" s="34" t="inlineStr">
        <is>
          <t>重訓</t>
        </is>
      </c>
      <c r="C172" s="34" t="inlineStr">
        <is>
          <t>腿外展</t>
        </is>
      </c>
      <c r="D172" s="410" t="n">
        <v>3</v>
      </c>
      <c r="E172" s="411" t="n">
        <v>45</v>
      </c>
      <c r="F172" s="411" t="n">
        <v>15</v>
      </c>
      <c r="G172" s="411" t="n">
        <v>1</v>
      </c>
      <c r="H172" s="412">
        <f>IF(OR(E172="",F172=""),"",E172*F172)</f>
        <v/>
      </c>
      <c r="I172" s="44" t="inlineStr">
        <is>
          <t>使用者回報。</t>
        </is>
      </c>
    </row>
    <row r="173">
      <c r="A173" s="403" t="n">
        <v>46272</v>
      </c>
      <c r="B173" s="34" t="inlineStr">
        <is>
          <t>重訓</t>
        </is>
      </c>
      <c r="C173" s="34" t="inlineStr">
        <is>
          <t>腿外展</t>
        </is>
      </c>
      <c r="D173" s="410" t="n">
        <v>4</v>
      </c>
      <c r="E173" s="411" t="n">
        <v>45</v>
      </c>
      <c r="F173" s="411" t="n">
        <v>12</v>
      </c>
      <c r="G173" s="411" t="n">
        <v>2</v>
      </c>
      <c r="H173" s="412">
        <f>IF(OR(E173="",F173=""),"",E173*F173)</f>
        <v/>
      </c>
      <c r="I173" s="44" t="inlineStr">
        <is>
          <t>使用者回報。</t>
        </is>
      </c>
    </row>
    <row r="174">
      <c r="A174" s="403" t="n">
        <v>46272</v>
      </c>
      <c r="B174" s="34" t="inlineStr">
        <is>
          <t>重訓</t>
        </is>
      </c>
      <c r="C174" s="34" t="inlineStr">
        <is>
          <t>腿外展</t>
        </is>
      </c>
      <c r="D174" s="410" t="n">
        <v>5</v>
      </c>
      <c r="E174" s="411" t="n">
        <v>45</v>
      </c>
      <c r="F174" s="411" t="n">
        <v>15</v>
      </c>
      <c r="G174" s="411" t="n">
        <v>2</v>
      </c>
      <c r="H174" s="412">
        <f>IF(OR(E174="",F174=""),"",E174*F174)</f>
        <v/>
      </c>
      <c r="I174" s="44" t="inlineStr">
        <is>
          <t>使用者追加回報。</t>
        </is>
      </c>
    </row>
    <row r="175">
      <c r="A175" s="403" t="n">
        <v>46272</v>
      </c>
      <c r="B175" s="34" t="inlineStr">
        <is>
          <t>重訓</t>
        </is>
      </c>
      <c r="C175" s="34" t="inlineStr">
        <is>
          <t>啞鈴側平舉</t>
        </is>
      </c>
      <c r="D175" s="410" t="n">
        <v>1</v>
      </c>
      <c r="E175" s="411" t="n">
        <v>10</v>
      </c>
      <c r="F175" s="411" t="n">
        <v>15</v>
      </c>
      <c r="G175" s="411" t="n">
        <v>1</v>
      </c>
      <c r="H175" s="412">
        <f>IF(OR(E175="",F175=""),"",E175*F175)</f>
        <v/>
      </c>
      <c r="I175" s="44" t="inlineStr">
        <is>
          <t>使用者回報。</t>
        </is>
      </c>
    </row>
    <row r="176">
      <c r="A176" s="403" t="n">
        <v>46272</v>
      </c>
      <c r="B176" s="34" t="inlineStr">
        <is>
          <t>重訓</t>
        </is>
      </c>
      <c r="C176" s="34" t="inlineStr">
        <is>
          <t>啞鈴側平舉</t>
        </is>
      </c>
      <c r="D176" s="410" t="n">
        <v>2</v>
      </c>
      <c r="E176" s="411" t="n">
        <v>10</v>
      </c>
      <c r="F176" s="411" t="n">
        <v>13</v>
      </c>
      <c r="G176" s="411" t="n">
        <v>1</v>
      </c>
      <c r="H176" s="412">
        <f>IF(OR(E176="",F176=""),"",E176*F176)</f>
        <v/>
      </c>
      <c r="I176" s="44" t="inlineStr">
        <is>
          <t>重量未重複提供，沿用上一組 10 kg。</t>
        </is>
      </c>
    </row>
    <row r="177">
      <c r="A177" s="403" t="n">
        <v>46272</v>
      </c>
      <c r="B177" s="34" t="inlineStr">
        <is>
          <t>重訓</t>
        </is>
      </c>
      <c r="C177" s="34" t="inlineStr">
        <is>
          <t>啞鈴側平舉</t>
        </is>
      </c>
      <c r="D177" s="410" t="n">
        <v>3</v>
      </c>
      <c r="E177" s="411" t="n">
        <v>10</v>
      </c>
      <c r="F177" s="411" t="n">
        <v>14</v>
      </c>
      <c r="G177" s="411" t="n">
        <v>1</v>
      </c>
      <c r="H177" s="412">
        <f>IF(OR(E177="",F177=""),"",E177*F177)</f>
        <v/>
      </c>
      <c r="I177" s="44" t="inlineStr">
        <is>
          <t>重量未重複提供，沿用上一組 10 kg。</t>
        </is>
      </c>
    </row>
    <row r="178">
      <c r="A178" s="403" t="n">
        <v>46272</v>
      </c>
      <c r="B178" s="34" t="inlineStr">
        <is>
          <t>重訓</t>
        </is>
      </c>
      <c r="C178" s="34" t="inlineStr">
        <is>
          <t>啞鈴側平舉</t>
        </is>
      </c>
      <c r="D178" s="410" t="n">
        <v>4</v>
      </c>
      <c r="E178" s="411" t="n">
        <v>10</v>
      </c>
      <c r="F178" s="411" t="n">
        <v>15</v>
      </c>
      <c r="G178" s="411" t="n">
        <v>0</v>
      </c>
      <c r="H178" s="412">
        <f>IF(OR(E178="",F178=""),"",E178*F178)</f>
        <v/>
      </c>
      <c r="I178" s="44" t="inlineStr">
        <is>
          <t>重量未重複提供，沿用上一組 10 kg。</t>
        </is>
      </c>
    </row>
    <row r="179">
      <c r="A179" s="403" t="n">
        <v>46276</v>
      </c>
      <c r="B179" s="34" t="inlineStr">
        <is>
          <t>重訓</t>
        </is>
      </c>
      <c r="C179" s="34" t="inlineStr">
        <is>
          <t>保加利亞分腿蹲</t>
        </is>
      </c>
      <c r="D179" s="410" t="n">
        <v>1</v>
      </c>
      <c r="E179" s="411" t="n">
        <v>10</v>
      </c>
      <c r="F179" s="411" t="n">
        <v>15</v>
      </c>
      <c r="G179" s="411" t="n">
        <v>2</v>
      </c>
      <c r="H179" s="412">
        <f>IF(OR(E179="",F179=""),"",E179*F179)</f>
        <v/>
      </c>
      <c r="I179" s="44" t="inlineStr">
        <is>
          <t>左腳；每手 5 kg，兩手總負重 10 kg。</t>
        </is>
      </c>
    </row>
    <row r="180">
      <c r="A180" s="403" t="n">
        <v>46276</v>
      </c>
      <c r="B180" s="34" t="inlineStr">
        <is>
          <t>重訓</t>
        </is>
      </c>
      <c r="C180" s="34" t="inlineStr">
        <is>
          <t>保加利亞分腿蹲</t>
        </is>
      </c>
      <c r="D180" s="410" t="n">
        <v>2</v>
      </c>
      <c r="E180" s="411" t="n">
        <v>10</v>
      </c>
      <c r="F180" s="411" t="n">
        <v>15</v>
      </c>
      <c r="G180" s="411" t="n">
        <v>2</v>
      </c>
      <c r="H180" s="412">
        <f>IF(OR(E180="",F180=""),"",E180*F180)</f>
        <v/>
      </c>
      <c r="I180" s="44" t="inlineStr">
        <is>
          <t>右腳；每手 5 kg，兩手總負重 10 kg。使用者更正：第一條回報代表左右腳都完成 15 下 DBR2。</t>
        </is>
      </c>
    </row>
    <row r="181">
      <c r="A181" s="403" t="n">
        <v>46276</v>
      </c>
      <c r="B181" s="34" t="inlineStr">
        <is>
          <t>重訓</t>
        </is>
      </c>
      <c r="C181" s="34" t="inlineStr">
        <is>
          <t>保加利亞分腿蹲</t>
        </is>
      </c>
      <c r="D181" s="410" t="n">
        <v>3</v>
      </c>
      <c r="E181" s="411" t="n">
        <v>10</v>
      </c>
      <c r="F181" s="411" t="n">
        <v>12</v>
      </c>
      <c r="G181" s="411" t="n">
        <v>2</v>
      </c>
      <c r="H181" s="412">
        <f>IF(OR(E181="",F181=""),"",E181*F181)</f>
        <v/>
      </c>
      <c r="I181" s="44" t="inlineStr">
        <is>
          <t>左腳；每手 5 kg，兩手總負重 10 kg。第二條回報代表左右腳都完成 12 下 DBR2。</t>
        </is>
      </c>
    </row>
    <row r="182">
      <c r="A182" s="403" t="n">
        <v>46276</v>
      </c>
      <c r="B182" s="34" t="inlineStr">
        <is>
          <t>重訓</t>
        </is>
      </c>
      <c r="C182" s="34" t="inlineStr">
        <is>
          <t>保加利亞分腿蹲</t>
        </is>
      </c>
      <c r="D182" s="410" t="n">
        <v>4</v>
      </c>
      <c r="E182" s="411" t="n">
        <v>10</v>
      </c>
      <c r="F182" s="411" t="n">
        <v>12</v>
      </c>
      <c r="G182" s="411" t="n">
        <v>2</v>
      </c>
      <c r="H182" s="412">
        <f>IF(OR(E182="",F182=""),"",E182*F182)</f>
        <v/>
      </c>
      <c r="I182" s="44" t="inlineStr">
        <is>
          <t>右腳；每手 5 kg，兩手總負重 10 kg。第二條回報代表左右腳都完成 12 下 DBR2。</t>
        </is>
      </c>
    </row>
    <row r="183">
      <c r="A183" s="403" t="n">
        <v>46276</v>
      </c>
      <c r="B183" s="34" t="inlineStr">
        <is>
          <t>重訓</t>
        </is>
      </c>
      <c r="C183" s="34" t="inlineStr">
        <is>
          <t>保加利亞分腿蹲</t>
        </is>
      </c>
      <c r="D183" s="410" t="n">
        <v>5</v>
      </c>
      <c r="E183" s="411" t="n">
        <v>10</v>
      </c>
      <c r="F183" s="411" t="n">
        <v>13</v>
      </c>
      <c r="G183" s="411" t="n">
        <v>2</v>
      </c>
      <c r="H183" s="412">
        <f>IF(OR(E183="",F183=""),"",E183*F183)</f>
        <v/>
      </c>
      <c r="I183" s="44" t="inlineStr">
        <is>
          <t>左腳；每手 5 kg，兩手總負重 10 kg。</t>
        </is>
      </c>
    </row>
    <row r="184">
      <c r="A184" s="403" t="n">
        <v>46276</v>
      </c>
      <c r="B184" s="34" t="inlineStr">
        <is>
          <t>重訓</t>
        </is>
      </c>
      <c r="C184" s="34" t="inlineStr">
        <is>
          <t>保加利亞分腿蹲</t>
        </is>
      </c>
      <c r="D184" s="410" t="n">
        <v>6</v>
      </c>
      <c r="E184" s="411" t="n">
        <v>10</v>
      </c>
      <c r="F184" s="411" t="n">
        <v>10</v>
      </c>
      <c r="G184" s="411" t="n">
        <v>2</v>
      </c>
      <c r="H184" s="412">
        <f>IF(OR(E184="",F184=""),"",E184*F184)</f>
        <v/>
      </c>
      <c r="I184" s="44" t="inlineStr">
        <is>
          <t>右腳；每手 5 kg，兩手總負重 10 kg。</t>
        </is>
      </c>
    </row>
    <row r="185">
      <c r="A185" s="403" t="n">
        <v>46276</v>
      </c>
      <c r="B185" s="34" t="inlineStr">
        <is>
          <t>重訓</t>
        </is>
      </c>
      <c r="C185" s="34" t="inlineStr">
        <is>
          <t>保加利亞分腿蹲</t>
        </is>
      </c>
      <c r="D185" s="410" t="n">
        <v>7</v>
      </c>
      <c r="E185" s="411" t="n">
        <v>10</v>
      </c>
      <c r="F185" s="411" t="n">
        <v>12</v>
      </c>
      <c r="G185" s="411" t="n">
        <v>1</v>
      </c>
      <c r="H185" s="412">
        <f>IF(OR(E185="",F185=""),"",E185*F185)</f>
        <v/>
      </c>
      <c r="I185" s="44" t="inlineStr">
        <is>
          <t>左腳；每手 5 kg，兩手總負重 10 kg。</t>
        </is>
      </c>
    </row>
    <row r="186">
      <c r="A186" s="403" t="n">
        <v>46276</v>
      </c>
      <c r="B186" s="34" t="inlineStr">
        <is>
          <t>重訓</t>
        </is>
      </c>
      <c r="C186" s="34" t="inlineStr">
        <is>
          <t>保加利亞分腿蹲</t>
        </is>
      </c>
      <c r="D186" s="410" t="n">
        <v>8</v>
      </c>
      <c r="E186" s="411" t="n">
        <v>10</v>
      </c>
      <c r="F186" s="411" t="n">
        <v>10</v>
      </c>
      <c r="G186" s="411" t="n">
        <v>1</v>
      </c>
      <c r="H186" s="412">
        <f>IF(OR(E186="",F186=""),"",E186*F186)</f>
        <v/>
      </c>
      <c r="I186" s="44" t="inlineStr">
        <is>
          <t>右腳；每手 5 kg，兩手總負重 10 kg。</t>
        </is>
      </c>
    </row>
    <row r="187">
      <c r="A187" s="403" t="n">
        <v>46276</v>
      </c>
      <c r="B187" s="34" t="inlineStr">
        <is>
          <t>重訓</t>
        </is>
      </c>
      <c r="C187" s="34" t="inlineStr">
        <is>
          <t>上斜胸推</t>
        </is>
      </c>
      <c r="D187" s="410" t="n">
        <v>1</v>
      </c>
      <c r="E187" s="411" t="n">
        <v>25</v>
      </c>
      <c r="F187" s="411" t="n">
        <v>15</v>
      </c>
      <c r="G187" s="411" t="n">
        <v>1</v>
      </c>
      <c r="H187" s="412">
        <f>IF(OR(E187="",F187=""),"",E187*F187)</f>
        <v/>
      </c>
      <c r="I187" s="44" t="inlineStr">
        <is>
          <t>30°啞鈴上斜胸推；使用者回報每手 12.5 kg，兩支啞鈴合計 25 kg。</t>
        </is>
      </c>
    </row>
    <row r="188">
      <c r="A188" s="403" t="n">
        <v>46276</v>
      </c>
      <c r="B188" s="34" t="inlineStr">
        <is>
          <t>重訓</t>
        </is>
      </c>
      <c r="C188" s="34" t="inlineStr">
        <is>
          <t>上斜胸推</t>
        </is>
      </c>
      <c r="D188" s="410" t="n">
        <v>2</v>
      </c>
      <c r="E188" s="411" t="n">
        <v>25</v>
      </c>
      <c r="F188" s="411" t="n">
        <v>13</v>
      </c>
      <c r="G188" s="411" t="n">
        <v>1</v>
      </c>
      <c r="H188" s="412">
        <f>IF(OR(E188="",F188=""),"",E188*F188)</f>
        <v/>
      </c>
      <c r="I188" s="44" t="inlineStr">
        <is>
          <t>30°啞鈴上斜胸推；重量未重複提供，沿用上一組每手 12.5 kg，兩支啞鈴合計 25 kg。</t>
        </is>
      </c>
    </row>
    <row r="189">
      <c r="A189" s="403" t="n">
        <v>46276</v>
      </c>
      <c r="B189" s="34" t="inlineStr">
        <is>
          <t>重訓</t>
        </is>
      </c>
      <c r="C189" s="34" t="inlineStr">
        <is>
          <t>上斜胸推</t>
        </is>
      </c>
      <c r="D189" s="410" t="n">
        <v>3</v>
      </c>
      <c r="E189" s="411" t="n">
        <v>25</v>
      </c>
      <c r="F189" s="411" t="n">
        <v>9</v>
      </c>
      <c r="G189" s="411" t="n">
        <v>0</v>
      </c>
      <c r="H189" s="412">
        <f>IF(OR(E189="",F189=""),"",E189*F189)</f>
        <v/>
      </c>
      <c r="I189" s="44" t="inlineStr">
        <is>
          <t>30°啞鈴上斜胸推；重量未重複提供，沿用上一組每手 12.5 kg，兩支啞鈴合計 25 kg；本組前臂已有不適。</t>
        </is>
      </c>
    </row>
    <row r="190">
      <c r="A190" s="403" t="n">
        <v>46276</v>
      </c>
      <c r="B190" s="34" t="inlineStr">
        <is>
          <t>重訓</t>
        </is>
      </c>
      <c r="C190" s="34" t="inlineStr">
        <is>
          <t>上斜胸推</t>
        </is>
      </c>
      <c r="D190" s="410" t="n">
        <v>4</v>
      </c>
      <c r="E190" s="411" t="n">
        <v>20</v>
      </c>
      <c r="F190" s="411" t="n">
        <v>12</v>
      </c>
      <c r="G190" s="411" t="n">
        <v>1</v>
      </c>
      <c r="H190" s="412">
        <f>IF(OR(E190="",F190=""),"",E190*F190)</f>
        <v/>
      </c>
      <c r="I190" s="44" t="inlineStr">
        <is>
          <t>30°啞鈴上斜胸推；使用者回報每手 10 kg，兩支啞鈴合計 20 kg。</t>
        </is>
      </c>
    </row>
    <row r="191">
      <c r="A191" s="403" t="n">
        <v>46276</v>
      </c>
      <c r="B191" s="34" t="inlineStr">
        <is>
          <t>重訓</t>
        </is>
      </c>
      <c r="C191" s="34" t="inlineStr">
        <is>
          <t>反向飛鳥</t>
        </is>
      </c>
      <c r="D191" s="410" t="n">
        <v>1</v>
      </c>
      <c r="E191" s="411" t="n">
        <v>15</v>
      </c>
      <c r="F191" s="411" t="n">
        <v>15</v>
      </c>
      <c r="G191" s="411" t="n">
        <v>3</v>
      </c>
      <c r="H191" s="412">
        <f>IF(OR(E191="",F191=""),"",E191*F191)</f>
        <v/>
      </c>
      <c r="I191" s="44" t="inlineStr">
        <is>
          <t>使用者回報 15 kg × 15，DBR3。</t>
        </is>
      </c>
    </row>
    <row r="192">
      <c r="A192" s="403" t="n">
        <v>46276</v>
      </c>
      <c r="B192" s="34" t="inlineStr">
        <is>
          <t>重訓</t>
        </is>
      </c>
      <c r="C192" s="34" t="inlineStr">
        <is>
          <t>反向飛鳥</t>
        </is>
      </c>
      <c r="D192" s="410" t="n">
        <v>2</v>
      </c>
      <c r="E192" s="411" t="n">
        <v>15</v>
      </c>
      <c r="F192" s="411" t="n">
        <v>15</v>
      </c>
      <c r="G192" s="411" t="n">
        <v>1</v>
      </c>
      <c r="H192" s="412">
        <f>IF(OR(E192="",F192=""),"",E192*F192)</f>
        <v/>
      </c>
      <c r="I192" s="44" t="inlineStr">
        <is>
          <t>重量未重複提供，沿用上一組 15 kg。</t>
        </is>
      </c>
    </row>
    <row r="193">
      <c r="A193" s="403" t="n">
        <v>46276</v>
      </c>
      <c r="B193" s="34" t="inlineStr">
        <is>
          <t>重訓</t>
        </is>
      </c>
      <c r="C193" s="34" t="inlineStr">
        <is>
          <t>反向飛鳥</t>
        </is>
      </c>
      <c r="D193" s="410" t="n">
        <v>3</v>
      </c>
      <c r="E193" s="411" t="n">
        <v>15</v>
      </c>
      <c r="F193" s="411" t="n">
        <v>13</v>
      </c>
      <c r="G193" s="411" t="n">
        <v>1</v>
      </c>
      <c r="H193" s="412">
        <f>IF(OR(E193="",F193=""),"",E193*F193)</f>
        <v/>
      </c>
      <c r="I193" s="44" t="inlineStr">
        <is>
          <t>重量未重複提供，沿用上一組 15 kg。</t>
        </is>
      </c>
    </row>
    <row r="194">
      <c r="A194" s="403" t="n">
        <v>46276</v>
      </c>
      <c r="B194" s="34" t="inlineStr">
        <is>
          <t>重訓</t>
        </is>
      </c>
      <c r="C194" s="34" t="inlineStr">
        <is>
          <t>反向飛鳥</t>
        </is>
      </c>
      <c r="D194" s="410" t="n">
        <v>4</v>
      </c>
      <c r="E194" s="411" t="n">
        <v>15</v>
      </c>
      <c r="F194" s="411" t="n">
        <v>13</v>
      </c>
      <c r="G194" s="411" t="n">
        <v>1</v>
      </c>
      <c r="H194" s="412">
        <f>IF(OR(E194="",F194=""),"",E194*F194)</f>
        <v/>
      </c>
      <c r="I194" s="44" t="inlineStr">
        <is>
          <t>重量未重複提供，沿用上一組 15 kg。</t>
        </is>
      </c>
    </row>
    <row r="195">
      <c r="A195" s="403" t="n">
        <v>46276</v>
      </c>
      <c r="B195" s="34" t="inlineStr">
        <is>
          <t>重訓</t>
        </is>
      </c>
      <c r="C195" s="34" t="inlineStr">
        <is>
          <t>反向飛鳥</t>
        </is>
      </c>
      <c r="D195" s="410" t="n">
        <v>5</v>
      </c>
      <c r="E195" s="411" t="n">
        <v>15</v>
      </c>
      <c r="F195" s="411" t="n">
        <v>11</v>
      </c>
      <c r="G195" s="411" t="n">
        <v>1</v>
      </c>
      <c r="H195" s="412">
        <f>IF(OR(E195="",F195=""),"",E195*F195)</f>
        <v/>
      </c>
      <c r="I195" s="44" t="inlineStr">
        <is>
          <t>重量未重複提供，沿用上一組 15 kg。</t>
        </is>
      </c>
    </row>
    <row r="196">
      <c r="A196" s="403" t="n">
        <v>46276</v>
      </c>
      <c r="B196" s="34" t="inlineStr">
        <is>
          <t>重訓</t>
        </is>
      </c>
      <c r="C196" s="34" t="inlineStr">
        <is>
          <t>滑輪下拉</t>
        </is>
      </c>
      <c r="D196" s="410" t="n">
        <v>1</v>
      </c>
      <c r="E196" s="411" t="n">
        <v>37.5</v>
      </c>
      <c r="F196" s="411" t="n">
        <v>13</v>
      </c>
      <c r="G196" s="411" t="n">
        <v>2</v>
      </c>
      <c r="H196" s="412">
        <f>IF(OR(E196="",F196=""),"",E196*F196)</f>
        <v/>
      </c>
      <c r="I196" s="44" t="inlineStr">
        <is>
          <t>重量未重複提供，沿用本次安排 37.5 kg。</t>
        </is>
      </c>
    </row>
    <row r="197">
      <c r="A197" s="403" t="n">
        <v>46276</v>
      </c>
      <c r="B197" s="34" t="inlineStr">
        <is>
          <t>重訓</t>
        </is>
      </c>
      <c r="C197" s="34" t="inlineStr">
        <is>
          <t>滑輪下拉</t>
        </is>
      </c>
      <c r="D197" s="410" t="n">
        <v>2</v>
      </c>
      <c r="E197" s="411" t="n">
        <v>37.5</v>
      </c>
      <c r="F197" s="411" t="n">
        <v>13</v>
      </c>
      <c r="G197" s="411" t="n">
        <v>2</v>
      </c>
      <c r="H197" s="412">
        <f>IF(OR(E197="",F197=""),"",E197*F197)</f>
        <v/>
      </c>
      <c r="I197" s="44" t="inlineStr">
        <is>
          <t>重量未重複提供，沿用上一組 37.5 kg。</t>
        </is>
      </c>
    </row>
    <row r="198">
      <c r="A198" s="403" t="n">
        <v>46276</v>
      </c>
      <c r="B198" s="34" t="inlineStr">
        <is>
          <t>重訓</t>
        </is>
      </c>
      <c r="C198" s="34" t="inlineStr">
        <is>
          <t>滑輪下拉</t>
        </is>
      </c>
      <c r="D198" s="410" t="n">
        <v>3</v>
      </c>
      <c r="E198" s="411" t="n">
        <v>37.5</v>
      </c>
      <c r="F198" s="411" t="n">
        <v>11</v>
      </c>
      <c r="G198" s="411" t="n">
        <v>1</v>
      </c>
      <c r="H198" s="412">
        <f>IF(OR(E198="",F198=""),"",E198*F198)</f>
        <v/>
      </c>
      <c r="I198" s="44" t="inlineStr">
        <is>
          <t>重量未重複提供，沿用上一組 37.5 kg。</t>
        </is>
      </c>
    </row>
    <row r="199">
      <c r="A199" s="403" t="n">
        <v>46276</v>
      </c>
      <c r="B199" s="34" t="inlineStr">
        <is>
          <t>重訓</t>
        </is>
      </c>
      <c r="C199" s="34" t="inlineStr">
        <is>
          <t>滑輪下拉</t>
        </is>
      </c>
      <c r="D199" s="410" t="n">
        <v>4</v>
      </c>
      <c r="E199" s="411" t="n">
        <v>37.5</v>
      </c>
      <c r="F199" s="411" t="n">
        <v>8</v>
      </c>
      <c r="G199" s="411" t="n">
        <v>0</v>
      </c>
      <c r="H199" s="412">
        <f>IF(OR(E199="",F199=""),"",E199*F199)</f>
        <v/>
      </c>
      <c r="I199" s="44" t="inlineStr">
        <is>
          <t>重量未重複提供，沿用上一組 37.5 kg。</t>
        </is>
      </c>
    </row>
    <row r="200">
      <c r="A200" s="403" t="n">
        <v>46276</v>
      </c>
      <c r="B200" s="34" t="inlineStr">
        <is>
          <t>重訓</t>
        </is>
      </c>
      <c r="C200" s="34" t="inlineStr">
        <is>
          <t>腿內收</t>
        </is>
      </c>
      <c r="D200" s="410" t="n">
        <v>1</v>
      </c>
      <c r="E200" s="411" t="n">
        <v>37.5</v>
      </c>
      <c r="F200" s="411" t="n">
        <v>13</v>
      </c>
      <c r="G200" s="411" t="n">
        <v>2</v>
      </c>
      <c r="H200" s="412">
        <f>IF(OR(E200="",F200=""),"",E200*F200)</f>
        <v/>
      </c>
      <c r="I200" s="44" t="inlineStr">
        <is>
          <t>重量未重複提供，沿用本次安排 37.5 kg。</t>
        </is>
      </c>
    </row>
    <row r="201">
      <c r="A201" s="403" t="n">
        <v>46276</v>
      </c>
      <c r="B201" s="34" t="inlineStr">
        <is>
          <t>重訓</t>
        </is>
      </c>
      <c r="C201" s="34" t="inlineStr">
        <is>
          <t>腿內收</t>
        </is>
      </c>
      <c r="D201" s="410" t="n">
        <v>2</v>
      </c>
      <c r="E201" s="411" t="n">
        <v>37.5</v>
      </c>
      <c r="F201" s="411" t="n">
        <v>13</v>
      </c>
      <c r="G201" s="411" t="n">
        <v>1</v>
      </c>
      <c r="H201" s="412">
        <f>IF(OR(E201="",F201=""),"",E201*F201)</f>
        <v/>
      </c>
      <c r="I201" s="44" t="inlineStr">
        <is>
          <t>重量未重複提供，沿用上一組 37.5 kg。</t>
        </is>
      </c>
    </row>
    <row r="202">
      <c r="A202" s="403" t="n">
        <v>46276</v>
      </c>
      <c r="B202" s="34" t="inlineStr">
        <is>
          <t>重訓</t>
        </is>
      </c>
      <c r="C202" s="34" t="inlineStr">
        <is>
          <t>腿內收</t>
        </is>
      </c>
      <c r="D202" s="410" t="n">
        <v>3</v>
      </c>
      <c r="E202" s="411" t="n">
        <v>37.5</v>
      </c>
      <c r="F202" s="411" t="n">
        <v>13</v>
      </c>
      <c r="G202" s="411" t="n">
        <v>1</v>
      </c>
      <c r="H202" s="412">
        <f>IF(OR(E202="",F202=""),"",E202*F202)</f>
        <v/>
      </c>
      <c r="I202" s="44" t="inlineStr">
        <is>
          <t>重量未重複提供，沿用上一組 37.5 kg。</t>
        </is>
      </c>
    </row>
    <row r="203">
      <c r="A203" s="403" t="n">
        <v>46276</v>
      </c>
      <c r="B203" s="34" t="inlineStr">
        <is>
          <t>重訓</t>
        </is>
      </c>
      <c r="C203" s="34" t="inlineStr">
        <is>
          <t>腿內收</t>
        </is>
      </c>
      <c r="D203" s="410" t="n">
        <v>4</v>
      </c>
      <c r="E203" s="411" t="n">
        <v>37.5</v>
      </c>
      <c r="F203" s="411" t="n">
        <v>13</v>
      </c>
      <c r="G203" s="411" t="n">
        <v>0</v>
      </c>
      <c r="H203" s="412">
        <f>IF(OR(E203="",F203=""),"",E203*F203)</f>
        <v/>
      </c>
      <c r="I203" s="44" t="inlineStr">
        <is>
          <t>重量未重複提供，沿用上一組 37.5 kg。</t>
        </is>
      </c>
    </row>
    <row r="204">
      <c r="A204" s="403" t="n">
        <v>46279</v>
      </c>
      <c r="B204" s="34" t="inlineStr">
        <is>
          <t>重訓</t>
        </is>
      </c>
      <c r="C204" s="34" t="inlineStr">
        <is>
          <t>DRAX 槓片式腿推機</t>
        </is>
      </c>
      <c r="D204" s="410" t="n">
        <v>1</v>
      </c>
      <c r="E204" s="411" t="n">
        <v>40</v>
      </c>
      <c r="F204" s="411" t="n">
        <v>15</v>
      </c>
      <c r="G204" s="411" t="n">
        <v>4</v>
      </c>
      <c r="H204" s="412">
        <f>IF(OR(E204="",F204=""),"",E204*F204)</f>
        <v/>
      </c>
      <c r="I204" s="44" t="inlineStr">
        <is>
          <t>使用者回報 40 kg × 15，DBR4；照片確認為 DRAX 槓片式腿推機。重量按使用者回報記錄，不另加機台／滑軌自重；此動作與既有『腿推舉』分開建立基準。</t>
        </is>
      </c>
    </row>
    <row r="205">
      <c r="A205" s="403" t="n">
        <v>46279</v>
      </c>
      <c r="B205" s="34" t="inlineStr">
        <is>
          <t>重訓</t>
        </is>
      </c>
      <c r="C205" s="34" t="inlineStr">
        <is>
          <t>DRAX 槓片式腿推機</t>
        </is>
      </c>
      <c r="D205" s="410" t="n">
        <v>2</v>
      </c>
      <c r="E205" s="411" t="n">
        <v>40</v>
      </c>
      <c r="F205" s="411" t="n">
        <v>15</v>
      </c>
      <c r="G205" s="411" t="n">
        <v>3</v>
      </c>
      <c r="H205" s="412">
        <f>IF(OR(E205="",F205=""),"",E205*F205)</f>
        <v/>
      </c>
      <c r="I205" s="44" t="inlineStr">
        <is>
          <t>重量未重複提供，沿用上一組 40 kg。</t>
        </is>
      </c>
    </row>
    <row r="206">
      <c r="A206" s="403" t="n">
        <v>46279</v>
      </c>
      <c r="B206" s="34" t="inlineStr">
        <is>
          <t>重訓</t>
        </is>
      </c>
      <c r="C206" s="34" t="inlineStr">
        <is>
          <t>DRAX 槓片式腿推機</t>
        </is>
      </c>
      <c r="D206" s="410" t="n">
        <v>3</v>
      </c>
      <c r="E206" s="411" t="n">
        <v>40</v>
      </c>
      <c r="F206" s="411" t="n">
        <v>15</v>
      </c>
      <c r="G206" s="411" t="n">
        <v>1</v>
      </c>
      <c r="H206" s="412">
        <f>IF(OR(E206="",F206=""),"",E206*F206)</f>
        <v/>
      </c>
      <c r="I206" s="44" t="inlineStr">
        <is>
          <t>重量未重複提供，沿用上一組 40 kg。照片中腳位為踏板中上區、約肩寬。</t>
        </is>
      </c>
    </row>
    <row r="207">
      <c r="A207" s="403" t="n">
        <v>46279</v>
      </c>
      <c r="B207" s="34" t="inlineStr">
        <is>
          <t>重訓</t>
        </is>
      </c>
      <c r="C207" s="34" t="inlineStr">
        <is>
          <t>DRAX 槓片式腿推機</t>
        </is>
      </c>
      <c r="D207" s="410" t="n">
        <v>4</v>
      </c>
      <c r="E207" s="411" t="n">
        <v>40</v>
      </c>
      <c r="F207" s="411" t="n">
        <v>12</v>
      </c>
      <c r="G207" s="411" t="n">
        <v>2</v>
      </c>
      <c r="H207" s="412">
        <f>IF(OR(E207="",F207=""),"",E207*F207)</f>
        <v/>
      </c>
      <c r="I207" s="44" t="inlineStr">
        <is>
          <t>重量未重複提供，沿用上一組 40 kg。</t>
        </is>
      </c>
    </row>
    <row r="208">
      <c r="A208" s="403" t="n">
        <v>46279</v>
      </c>
      <c r="B208" s="34" t="inlineStr">
        <is>
          <t>重訓</t>
        </is>
      </c>
      <c r="C208" s="34" t="inlineStr">
        <is>
          <t>腿後勾</t>
        </is>
      </c>
      <c r="D208" s="410" t="n">
        <v>1</v>
      </c>
      <c r="E208" s="411" t="n">
        <v>47</v>
      </c>
      <c r="F208" s="411" t="n">
        <v>15</v>
      </c>
      <c r="G208" s="411" t="n">
        <v>2</v>
      </c>
      <c r="H208" s="412">
        <f>IF(OR(E208="",F208=""),"",E208*F208)</f>
        <v/>
      </c>
      <c r="I208" s="44" t="inlineStr">
        <is>
          <t>使用者回報 47 kg × 15，DBR2；照片為坐姿腿後勾機。</t>
        </is>
      </c>
    </row>
    <row r="209">
      <c r="A209" s="403" t="n">
        <v>46279</v>
      </c>
      <c r="B209" s="34" t="inlineStr">
        <is>
          <t>重訓</t>
        </is>
      </c>
      <c r="C209" s="34" t="inlineStr">
        <is>
          <t>腿後勾</t>
        </is>
      </c>
      <c r="D209" s="410" t="n">
        <v>2</v>
      </c>
      <c r="E209" s="411" t="n">
        <v>47</v>
      </c>
      <c r="F209" s="411" t="n">
        <v>12</v>
      </c>
      <c r="G209" s="411" t="n">
        <v>2</v>
      </c>
      <c r="H209" s="412">
        <f>IF(OR(E209="",F209=""),"",E209*F209)</f>
        <v/>
      </c>
      <c r="I209" s="44" t="inlineStr">
        <is>
          <t>重量未重複提供，沿用上一組 47 kg。</t>
        </is>
      </c>
    </row>
    <row r="210">
      <c r="A210" s="403" t="n">
        <v>46279</v>
      </c>
      <c r="B210" s="34" t="inlineStr">
        <is>
          <t>重訓</t>
        </is>
      </c>
      <c r="C210" s="34" t="inlineStr">
        <is>
          <t>腿後勾</t>
        </is>
      </c>
      <c r="D210" s="410" t="n">
        <v>3</v>
      </c>
      <c r="E210" s="411" t="n">
        <v>47</v>
      </c>
      <c r="F210" s="411" t="n">
        <v>12</v>
      </c>
      <c r="G210" s="411" t="n">
        <v>1</v>
      </c>
      <c r="H210" s="412">
        <f>IF(OR(E210="",F210=""),"",E210*F210)</f>
        <v/>
      </c>
      <c r="I210" s="44" t="inlineStr">
        <is>
          <t>重量未重複提供，沿用上一組 47 kg。</t>
        </is>
      </c>
    </row>
    <row r="211">
      <c r="A211" s="403" t="n">
        <v>46279</v>
      </c>
      <c r="B211" s="34" t="inlineStr">
        <is>
          <t>重訓</t>
        </is>
      </c>
      <c r="C211" s="34" t="inlineStr">
        <is>
          <t>腿後勾</t>
        </is>
      </c>
      <c r="D211" s="410" t="n">
        <v>4</v>
      </c>
      <c r="E211" s="411" t="n">
        <v>47</v>
      </c>
      <c r="F211" s="411" t="n">
        <v>12</v>
      </c>
      <c r="G211" s="411" t="n">
        <v>0</v>
      </c>
      <c r="H211" s="412">
        <f>IF(OR(E211="",F211=""),"",E211*F211)</f>
        <v/>
      </c>
      <c r="I211" s="44" t="inlineStr">
        <is>
          <t>重量未重複提供，沿用上一組 47 kg。</t>
        </is>
      </c>
    </row>
    <row r="212">
      <c r="A212" s="403" t="n">
        <v>46279</v>
      </c>
      <c r="B212" s="34" t="inlineStr">
        <is>
          <t>重訓</t>
        </is>
      </c>
      <c r="C212" s="34" t="inlineStr">
        <is>
          <t>Gymleco Active Line 321 Chest Press</t>
        </is>
      </c>
      <c r="D212" s="410" t="n">
        <v>1</v>
      </c>
      <c r="E212" s="411" t="n">
        <v>25</v>
      </c>
      <c r="F212" s="411" t="n">
        <v>15</v>
      </c>
      <c r="G212" s="411" t="n">
        <v>1</v>
      </c>
      <c r="H212" s="412">
        <f>IF(OR(E212="",F212=""),"",E212*F212)</f>
        <v/>
      </c>
      <c r="I212" s="44" t="inlineStr">
        <is>
          <t>使用者確認插銷位於 25 kg；照片確認機型為 Gymleco Active Line 321 Chest Press。</t>
        </is>
      </c>
    </row>
    <row r="213">
      <c r="A213" s="403" t="n">
        <v>46279</v>
      </c>
      <c r="B213" s="34" t="inlineStr">
        <is>
          <t>重訓</t>
        </is>
      </c>
      <c r="C213" s="34" t="inlineStr">
        <is>
          <t>Gymleco Active Line 321 Chest Press</t>
        </is>
      </c>
      <c r="D213" s="410" t="n">
        <v>2</v>
      </c>
      <c r="E213" s="411" t="n">
        <v>25</v>
      </c>
      <c r="F213" s="411" t="n">
        <v>15</v>
      </c>
      <c r="G213" s="411" t="n">
        <v>1</v>
      </c>
      <c r="H213" s="412">
        <f>IF(OR(E213="",F213=""),"",E213*F213)</f>
        <v/>
      </c>
      <c r="I213" s="44" t="inlineStr">
        <is>
          <t>重量未重複提供，沿用上一組 25 kg。</t>
        </is>
      </c>
    </row>
    <row r="214">
      <c r="A214" s="403" t="n">
        <v>46279</v>
      </c>
      <c r="B214" s="34" t="inlineStr">
        <is>
          <t>重訓</t>
        </is>
      </c>
      <c r="C214" s="34" t="inlineStr">
        <is>
          <t>Gymleco Active Line 321 Chest Press</t>
        </is>
      </c>
      <c r="D214" s="410" t="n">
        <v>3</v>
      </c>
      <c r="E214" s="411" t="n">
        <v>30</v>
      </c>
      <c r="F214" s="411" t="n">
        <v>15</v>
      </c>
      <c r="G214" s="411" t="n">
        <v>1</v>
      </c>
      <c r="H214" s="412">
        <f>IF(OR(E214="",F214=""),"",E214*F214)</f>
        <v/>
      </c>
      <c r="I214" s="44" t="inlineStr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  <row r="223">
      <c r="A223" s="441" t="n">
        <v>46272</v>
      </c>
      <c r="B223" s="42" t="inlineStr">
        <is>
          <t>午餐</t>
        </is>
      </c>
      <c r="C223" s="36" t="inlineStr">
        <is>
          <t>使用者回報</t>
        </is>
      </c>
      <c r="D223" s="45" t="inlineStr">
        <is>
          <t>未進食</t>
        </is>
      </c>
      <c r="E223" s="45" t="n">
        <v>0</v>
      </c>
      <c r="F223" s="45" t="n">
        <v>0</v>
      </c>
      <c r="G223" s="45" t="inlineStr">
        <is>
          <t>使用者回報午餐沒吃。</t>
        </is>
      </c>
      <c r="H223" s="45" t="n">
        <v>0</v>
      </c>
    </row>
    <row r="224">
      <c r="A224" s="441" t="n">
        <v>46273</v>
      </c>
      <c r="B224" s="42" t="inlineStr">
        <is>
          <t>早餐</t>
        </is>
      </c>
      <c r="C224" s="36" t="inlineStr">
        <is>
          <t>使用者回報＋既有估算</t>
        </is>
      </c>
      <c r="D224" s="45" t="inlineStr">
        <is>
          <t>7-ELEVEN 30元地瓜</t>
        </is>
      </c>
      <c r="E224" s="45" t="n">
        <v>2.3</v>
      </c>
      <c r="F224" s="45" t="n">
        <v>162</v>
      </c>
      <c r="G224" s="45" t="inlineStr">
        <is>
          <t>沿用 2026-09-07 同款 7-ELEVEN 30元地瓜估算：以約145g計，約蛋白質2.3g、碳水37.7g、162 kcal。</t>
        </is>
      </c>
      <c r="H224" s="45" t="n">
        <v>37.7</v>
      </c>
    </row>
    <row r="225">
      <c r="A225" s="441" t="n">
        <v>46273</v>
      </c>
      <c r="B225" s="42" t="inlineStr">
        <is>
          <t>早餐</t>
        </is>
      </c>
      <c r="C225" s="36" t="inlineStr">
        <is>
          <t>使用者回報＋既有同款紀錄</t>
        </is>
      </c>
      <c r="D225" s="45" t="inlineStr">
        <is>
          <t>7-ELEVEN 21Plus 剝皮辣椒雞胸肉 1 包（145g）</t>
        </is>
      </c>
      <c r="E225" s="45" t="n">
        <v>30</v>
      </c>
      <c r="F225" s="45" t="n">
        <v>163</v>
      </c>
      <c r="G225" s="45" t="inlineStr">
        <is>
          <t>沿用追蹤表先前同款紀錄：約蛋白質30g、163 kcal；未取得可靠碳水標示，因此碳水留白。</t>
        </is>
      </c>
      <c r="H225" s="45" t="inlineStr"/>
    </row>
    <row r="226">
      <c r="A226" s="441" t="n">
        <v>46273</v>
      </c>
      <c r="B226" s="42" t="inlineStr">
        <is>
          <t>早餐</t>
        </is>
      </c>
      <c r="C226" s="36" t="inlineStr">
        <is>
          <t>使用者回報</t>
        </is>
      </c>
      <c r="D226" s="45" t="inlineStr">
        <is>
          <t>額外蛋白質 26g</t>
        </is>
      </c>
      <c r="E226" s="45" t="n">
        <v>26</v>
      </c>
      <c r="F226" s="45" t="inlineStr"/>
      <c r="G226" s="45" t="inlineStr">
        <is>
          <t>使用者回報早餐另外攝取26g蛋白質；未提供來源、品牌、熱量或碳水，因此僅記錄蛋白質。</t>
        </is>
      </c>
      <c r="H226" s="45" t="inlineStr"/>
    </row>
    <row r="227">
      <c r="A227" s="441" t="n">
        <v>46273</v>
      </c>
      <c r="B227" s="42" t="inlineStr">
        <is>
          <t>午餐</t>
        </is>
      </c>
      <c r="C227" s="36" t="inlineStr">
        <is>
          <t>使用者回報</t>
        </is>
      </c>
      <c r="D227" s="45" t="inlineStr">
        <is>
          <t>蛋白飲／額外蛋白質 26g</t>
        </is>
      </c>
      <c r="E227" s="45" t="n">
        <v>26</v>
      </c>
      <c r="F227" s="45" t="inlineStr"/>
      <c r="G227" s="45" t="inlineStr">
        <is>
          <t>使用者回報午餐喝了26g蛋白質；未提供品牌、來源、熱量或碳水，因此僅記錄蛋白質。</t>
        </is>
      </c>
      <c r="H227" s="45" t="inlineStr"/>
    </row>
    <row r="228">
      <c r="A228" s="441" t="n">
        <v>46273</v>
      </c>
      <c r="B228" s="42" t="inlineStr">
        <is>
          <t>晚餐</t>
        </is>
      </c>
      <c r="C228" s="36" t="inlineStr">
        <is>
          <t>使用者回報＋一般台式份量透明估算</t>
        </is>
      </c>
      <c r="D228" s="45" t="inlineStr">
        <is>
          <t>雞肉飯 1 碗</t>
        </is>
      </c>
      <c r="E228" s="45" t="n">
        <v>25</v>
      </c>
      <c r="F228" s="45" t="n">
        <v>500</v>
      </c>
      <c r="G228" s="45" t="inlineStr">
        <is>
          <t>未提供店家與重量，先以一般台式雞肉飯1碗估算約蛋白質25g、碳水65g、500 kcal；實際會依飯量、雞肉量與雞油明顯變動。</t>
        </is>
      </c>
      <c r="H228" s="45" t="n">
        <v>65</v>
      </c>
    </row>
    <row r="229">
      <c r="A229" s="441" t="n">
        <v>46273</v>
      </c>
      <c r="B229" s="42" t="inlineStr">
        <is>
          <t>晚餐</t>
        </is>
      </c>
      <c r="C229" s="36" t="inlineStr">
        <is>
          <t>使用者回報＋一般台式份量透明估算</t>
        </is>
      </c>
      <c r="D229" s="45" t="inlineStr">
        <is>
          <t>豬肝湯 1 碗</t>
        </is>
      </c>
      <c r="E229" s="45" t="n">
        <v>24</v>
      </c>
      <c r="F229" s="45" t="n">
        <v>180</v>
      </c>
      <c r="G229" s="45" t="inlineStr">
        <is>
          <t>未提供店家與豬肝重量，先以一般台式豬肝湯1碗估算約蛋白質24g、碳水4g、180 kcal；實際依豬肝份量與湯底而變動。</t>
        </is>
      </c>
      <c r="H229" s="45" t="n">
        <v>4</v>
      </c>
    </row>
    <row r="230">
      <c r="A230" s="441" t="n">
        <v>46274</v>
      </c>
      <c r="B230" s="42" t="inlineStr">
        <is>
          <t>早餐</t>
        </is>
      </c>
      <c r="C230" s="36" t="inlineStr">
        <is>
          <t>使用者回報＋既有估算</t>
        </is>
      </c>
      <c r="D230" s="45" t="inlineStr">
        <is>
          <t>7-ELEVEN 30元地瓜</t>
        </is>
      </c>
      <c r="E230" s="45" t="n">
        <v>2.3</v>
      </c>
      <c r="F230" s="45" t="n">
        <v>162</v>
      </c>
      <c r="G230" s="45" t="inlineStr">
        <is>
          <t>沿用 2026-09-07 同款 7-ELEVEN 30元地瓜估算：以約145g計，約蛋白質2.3g、碳水37.7g、162 kcal。</t>
        </is>
      </c>
      <c r="H230" s="45" t="n">
        <v>37.7</v>
      </c>
    </row>
    <row r="231">
      <c r="A231" s="441" t="n">
        <v>46274</v>
      </c>
      <c r="B231" s="42" t="inlineStr">
        <is>
          <t>早餐</t>
        </is>
      </c>
      <c r="C231" s="36" t="inlineStr">
        <is>
          <t>使用者回報＋既有同款紀錄</t>
        </is>
      </c>
      <c r="D231" s="45" t="inlineStr">
        <is>
          <t>7-ELEVEN 21Plus 剝皮辣椒雞胸肉 1 包（145g）</t>
        </is>
      </c>
      <c r="E231" s="45" t="n">
        <v>30</v>
      </c>
      <c r="F231" s="45" t="n">
        <v>163</v>
      </c>
      <c r="G231" s="45" t="inlineStr">
        <is>
          <t>沿用追蹤表先前同款紀錄：約蛋白質30g、163 kcal；未取得可靠碳水標示，因此碳水留白。</t>
        </is>
      </c>
      <c r="H231" s="45" t="inlineStr"/>
    </row>
    <row r="232">
      <c r="A232" s="441" t="n">
        <v>46274</v>
      </c>
      <c r="B232" s="42" t="inlineStr">
        <is>
          <t>晚餐</t>
        </is>
      </c>
      <c r="C232" s="36" t="inlineStr">
        <is>
          <t>使用者回報＋一般台式份量透明估算</t>
        </is>
      </c>
      <c r="D232" s="45" t="inlineStr">
        <is>
          <t>牛雜湯 1 碗</t>
        </is>
      </c>
      <c r="E232" s="45" t="n">
        <v>28</v>
      </c>
      <c r="F232" s="45" t="n">
        <v>250</v>
      </c>
      <c r="G232" s="45" t="inlineStr">
        <is>
          <t>未提供店家、牛雜種類與重量，先以一般台式牛雜湯1碗估算約蛋白質28g、碳水5g、250 kcal；實際依牛雜部位、油脂與湯底而變動。</t>
        </is>
      </c>
      <c r="H232" s="45" t="n">
        <v>5</v>
      </c>
    </row>
    <row r="233">
      <c r="A233" s="441" t="n">
        <v>46275</v>
      </c>
      <c r="B233" s="42" t="inlineStr">
        <is>
          <t>早餐</t>
        </is>
      </c>
      <c r="C233" s="36" t="inlineStr">
        <is>
          <t>使用者回報＋既有估算</t>
        </is>
      </c>
      <c r="D233" s="45" t="inlineStr">
        <is>
          <t>7-ELEVEN 30元地瓜</t>
        </is>
      </c>
      <c r="E233" s="45" t="n">
        <v>2.3</v>
      </c>
      <c r="F233" s="45" t="n">
        <v>162</v>
      </c>
      <c r="G233" s="45" t="inlineStr">
        <is>
          <t>沿用先前同款7-ELEVEN 30元地瓜估算：以約145g計，約蛋白質2.3g、碳水37.7g、162 kcal。</t>
        </is>
      </c>
      <c r="H233" s="45" t="n">
        <v>37.7</v>
      </c>
    </row>
    <row r="234">
      <c r="A234" s="441" t="n">
        <v>46275</v>
      </c>
      <c r="B234" s="42" t="inlineStr">
        <is>
          <t>早餐</t>
        </is>
      </c>
      <c r="C234" s="36" t="inlineStr">
        <is>
          <t>使用者回報＋既有同款紀錄</t>
        </is>
      </c>
      <c r="D234" s="45" t="inlineStr">
        <is>
          <t>7-ELEVEN 21Plus 剝皮辣椒雞胸肉 1 包（145g）</t>
        </is>
      </c>
      <c r="E234" s="45" t="n">
        <v>30</v>
      </c>
      <c r="F234" s="45" t="n">
        <v>163</v>
      </c>
      <c r="G234" s="45" t="inlineStr">
        <is>
          <t>沿用追蹤表先前同款紀錄：約蛋白質30g、163 kcal；未取得可靠碳水標示，因此碳水留白。</t>
        </is>
      </c>
      <c r="H234" s="45" t="inlineStr"/>
    </row>
    <row r="235">
      <c r="A235" s="441" t="n">
        <v>46275</v>
      </c>
      <c r="B235" s="42" t="inlineStr">
        <is>
          <t>早餐</t>
        </is>
      </c>
      <c r="C235" s="36" t="inlineStr">
        <is>
          <t>使用者回報</t>
        </is>
      </c>
      <c r="D235" s="45" t="inlineStr">
        <is>
          <t>乳清蛋白 26g蛋白質</t>
        </is>
      </c>
      <c r="E235" s="45" t="n">
        <v>26</v>
      </c>
      <c r="F235" s="45" t="inlineStr"/>
      <c r="G235" s="45" t="inlineStr">
        <is>
          <t>使用者回報早餐另攝取乳清，提供蛋白質26g；未提供品牌、熱量或碳水，因此僅記錄蛋白質。</t>
        </is>
      </c>
      <c r="H235" s="45" t="inlineStr"/>
    </row>
    <row r="236">
      <c r="A236" s="441" t="n">
        <v>46275</v>
      </c>
      <c r="B236" s="42" t="inlineStr">
        <is>
          <t>晚餐</t>
        </is>
      </c>
      <c r="C236" s="36" t="inlineStr">
        <is>
          <t>使用者回報＋一般份量透明估算</t>
        </is>
      </c>
      <c r="D236" s="45" t="inlineStr">
        <is>
          <t>芭樂 1 顆</t>
        </is>
      </c>
      <c r="E236" s="45" t="n">
        <v>2.5</v>
      </c>
      <c r="F236" s="45" t="n">
        <v>120</v>
      </c>
      <c r="G236" s="45" t="inlineStr">
        <is>
          <t>使用者回報晚餐吃一顆芭樂；未提供重量，先以一般中型芭樂估算約蛋白質2.5g、碳水25g、120 kcal，實際依大小而變動。</t>
        </is>
      </c>
      <c r="H236" s="45" t="n">
        <v>25</v>
      </c>
    </row>
    <row r="237">
      <c r="A237" s="441" t="n">
        <v>46275</v>
      </c>
      <c r="B237" s="42" t="inlineStr">
        <is>
          <t>晚餐</t>
        </is>
      </c>
      <c r="C237" s="36" t="inlineStr">
        <is>
          <t>使用者回報＋一般便當份量透明估算</t>
        </is>
      </c>
      <c r="D237" s="45" t="inlineStr">
        <is>
          <t>獅子頭雞肉飯 1 份</t>
        </is>
      </c>
      <c r="E237" s="45" t="n">
        <v>35</v>
      </c>
      <c r="F237" s="45" t="n">
        <v>750</v>
      </c>
      <c r="G237" s="45" t="inlineStr">
        <is>
          <t>使用者回報獅子頭雞肉飯；未提供店家、份量或配菜內容，先以一般一份主食估算約蛋白質35g、碳水70g、750 kcal，實際依獅子頭大小、雞肉量、飯量與醬汁而變動。</t>
        </is>
      </c>
      <c r="H237" s="45" t="n">
        <v>70</v>
      </c>
    </row>
    <row r="238">
      <c r="A238" s="441" t="n">
        <v>46276</v>
      </c>
      <c r="B238" s="42" t="inlineStr">
        <is>
          <t>早餐</t>
        </is>
      </c>
      <c r="C238" s="36" t="inlineStr">
        <is>
          <t>使用者回報＋既有估算</t>
        </is>
      </c>
      <c r="D238" s="45" t="inlineStr">
        <is>
          <t>7-ELEVEN 30元地瓜</t>
        </is>
      </c>
      <c r="E238" s="45" t="n">
        <v>2.3</v>
      </c>
      <c r="F238" s="45" t="n">
        <v>162</v>
      </c>
      <c r="G238" s="45" t="inlineStr">
        <is>
          <t>沿用先前同款7-ELEVEN 30元地瓜估算：以約145g計，約蛋白質2.3g、碳水37.7g、162 kcal。</t>
        </is>
      </c>
      <c r="H238" s="45" t="n">
        <v>37.7</v>
      </c>
    </row>
    <row r="239">
      <c r="A239" s="441" t="n">
        <v>46276</v>
      </c>
      <c r="B239" s="42" t="inlineStr">
        <is>
          <t>早餐</t>
        </is>
      </c>
      <c r="C239" s="36" t="inlineStr">
        <is>
          <t>使用者回報＋既有同款紀錄</t>
        </is>
      </c>
      <c r="D239" s="45" t="inlineStr">
        <is>
          <t>7-ELEVEN 21Plus 剝皮辣椒雞胸肉 1 包（145g）</t>
        </is>
      </c>
      <c r="E239" s="45" t="n">
        <v>30</v>
      </c>
      <c r="F239" s="45" t="n">
        <v>163</v>
      </c>
      <c r="G239" s="45" t="inlineStr">
        <is>
          <t>沿用追蹤表先前同款紀錄：約蛋白質30g、163 kcal；未取得可靠碳水標示，因此碳水留白。</t>
        </is>
      </c>
      <c r="H239" s="45" t="inlineStr"/>
    </row>
    <row r="240">
      <c r="A240" s="441" t="n">
        <v>46276</v>
      </c>
      <c r="B240" s="42" t="inlineStr">
        <is>
          <t>午餐</t>
        </is>
      </c>
      <c r="C240" s="36" t="inlineStr">
        <is>
          <t>使用者回報</t>
        </is>
      </c>
      <c r="D240" s="45" t="inlineStr">
        <is>
          <t>蛋白飲／額外蛋白質 52g</t>
        </is>
      </c>
      <c r="E240" s="45" t="n">
        <v>52</v>
      </c>
      <c r="F240" s="45" t="inlineStr"/>
      <c r="G240" s="45" t="inlineStr">
        <is>
          <t>使用者回報午餐喝了52g蛋白質；未提供品牌、熱量或碳水，因此僅記錄蛋白質。</t>
        </is>
      </c>
      <c r="H240" s="45" t="inlineStr"/>
    </row>
    <row r="241">
      <c r="A241" s="441" t="n">
        <v>46276</v>
      </c>
      <c r="B241" s="42" t="inlineStr">
        <is>
          <t>晚餐</t>
        </is>
      </c>
      <c r="C241" s="36" t="inlineStr">
        <is>
          <t>使用者回報＋照片份量透明估算</t>
        </is>
      </c>
      <c r="D241" s="45" t="inlineStr">
        <is>
          <t>鹽水雞：雞胸肉 1 份</t>
        </is>
      </c>
      <c r="E241" s="45" t="n">
        <v>31</v>
      </c>
      <c r="F241" s="45" t="n">
        <v>170</v>
      </c>
      <c r="G241" s="45" t="inlineStr">
        <is>
          <t>照片可見多塊雞胸肉，估約100g熟重，約蛋白質31g、170 kcal；實際依份量與拌油而變動。</t>
        </is>
      </c>
      <c r="H241" s="45" t="inlineStr"/>
    </row>
    <row r="242">
      <c r="A242" s="441" t="n">
        <v>46276</v>
      </c>
      <c r="B242" s="42" t="inlineStr">
        <is>
          <t>晚餐</t>
        </is>
      </c>
      <c r="C242" s="36" t="inlineStr">
        <is>
          <t>使用者回報＋照片份量透明估算</t>
        </is>
      </c>
      <c r="D242" s="45" t="inlineStr">
        <is>
          <t>鹽水雞：豬耳朵 1 份</t>
        </is>
      </c>
      <c r="E242" s="45" t="n">
        <v>14</v>
      </c>
      <c r="F242" s="45" t="n">
        <v>180</v>
      </c>
      <c r="G242" s="45" t="inlineStr">
        <is>
          <t>照片可見豬耳朵條狀切片，估一般鹽水雞配料1份，約蛋白質14g、180 kcal；實際依肥瘦與份量而變動。</t>
        </is>
      </c>
      <c r="H242" s="45" t="inlineStr"/>
    </row>
    <row r="243">
      <c r="A243" s="441" t="n">
        <v>46276</v>
      </c>
      <c r="B243" s="42" t="inlineStr">
        <is>
          <t>晚餐</t>
        </is>
      </c>
      <c r="C243" s="36" t="inlineStr">
        <is>
          <t>使用者回報＋照片份量透明估算</t>
        </is>
      </c>
      <c r="D243" s="45" t="inlineStr">
        <is>
          <t>鹽水雞：高麗菜 1 份</t>
        </is>
      </c>
      <c r="E243" s="45" t="n">
        <v>2</v>
      </c>
      <c r="F243" s="45" t="n">
        <v>45</v>
      </c>
      <c r="G243" s="45" t="inlineStr">
        <is>
          <t>照片可見高麗菜約1份，估約蛋白質2g、碳水8g、45 kcal；未另加估拌油。</t>
        </is>
      </c>
      <c r="H243" s="45" t="n">
        <v>8</v>
      </c>
    </row>
    <row r="244">
      <c r="A244" s="441" t="n">
        <v>46276</v>
      </c>
      <c r="B244" s="42" t="inlineStr">
        <is>
          <t>晚餐</t>
        </is>
      </c>
      <c r="C244" s="36" t="inlineStr">
        <is>
          <t>使用者回報＋照片份量透明估算</t>
        </is>
      </c>
      <c r="D244" s="45" t="inlineStr">
        <is>
          <t>鹽水雞：豆乾 1 份</t>
        </is>
      </c>
      <c r="E244" s="45" t="n">
        <v>12</v>
      </c>
      <c r="F244" s="45" t="n">
        <v>130</v>
      </c>
      <c r="G244" s="45" t="inlineStr">
        <is>
          <t>照片可見豆乾切塊，估一般1份約蛋白質12g、碳水5g、130 kcal；實際依份量而變動。</t>
        </is>
      </c>
      <c r="H244" s="45" t="n">
        <v>5</v>
      </c>
    </row>
    <row r="245">
      <c r="A245" s="441" t="n">
        <v>46277</v>
      </c>
      <c r="B245" s="42" t="inlineStr">
        <is>
          <t>早餐</t>
        </is>
      </c>
      <c r="C245" s="36" t="inlineStr">
        <is>
          <t>使用者回報＋既有估算</t>
        </is>
      </c>
      <c r="D245" s="45" t="inlineStr">
        <is>
          <t>7-ELEVEN 30元地瓜</t>
        </is>
      </c>
      <c r="E245" s="45" t="n">
        <v>2.3</v>
      </c>
      <c r="F245" s="45" t="n">
        <v>162</v>
      </c>
      <c r="G245" s="45" t="inlineStr">
        <is>
          <t>沿用先前同款 7-ELEVEN 30元地瓜估算：約145g，約蛋白質2.3g、碳水37.7g、162 kcal。</t>
        </is>
      </c>
      <c r="H245" s="45" t="n">
        <v>37.7</v>
      </c>
    </row>
    <row r="246">
      <c r="A246" s="441" t="n">
        <v>46277</v>
      </c>
      <c r="B246" s="42" t="inlineStr">
        <is>
          <t>早餐</t>
        </is>
      </c>
      <c r="C246" s="36" t="inlineStr">
        <is>
          <t>使用者回報＋既有同款紀錄</t>
        </is>
      </c>
      <c r="D246" s="45" t="inlineStr">
        <is>
          <t>7-ELEVEN 21Plus 剝皮辣椒雞胸肉 1 包（145g）</t>
        </is>
      </c>
      <c r="E246" s="45" t="n">
        <v>30</v>
      </c>
      <c r="F246" s="45" t="n">
        <v>163</v>
      </c>
      <c r="G246" s="45" t="inlineStr">
        <is>
          <t>沿用追蹤表先前同款紀錄：約蛋白質30g、163 kcal；未取得可靠碳水標示，因此碳水留白。</t>
        </is>
      </c>
      <c r="H246" s="45" t="inlineStr"/>
    </row>
    <row r="247">
      <c r="A247" s="441" t="n">
        <v>46277</v>
      </c>
      <c r="B247" s="42" t="inlineStr">
        <is>
          <t>早餐</t>
        </is>
      </c>
      <c r="C247" s="36" t="inlineStr">
        <is>
          <t>使用者回報</t>
        </is>
      </c>
      <c r="D247" s="45" t="inlineStr">
        <is>
          <t>乳清蛋白 26g 蛋白質</t>
        </is>
      </c>
      <c r="E247" s="45" t="n">
        <v>26</v>
      </c>
      <c r="F247" s="45" t="inlineStr"/>
      <c r="G247" s="45" t="inlineStr">
        <is>
          <t>使用者回報早餐攝取26g蛋白質乳清；未提供品牌、粉重、熱量或碳水，因此僅記錄蛋白質。</t>
        </is>
      </c>
      <c r="H247" s="45" t="inlineStr"/>
    </row>
    <row r="248">
      <c r="A248" s="441" t="n">
        <v>46277</v>
      </c>
      <c r="B248" s="42" t="inlineStr">
        <is>
          <t>午餐</t>
        </is>
      </c>
      <c r="C248" s="36" t="inlineStr">
        <is>
          <t>使用者回報＋IKEA官方品項確認＋透明估算</t>
        </is>
      </c>
      <c r="D248" s="45" t="inlineStr">
        <is>
          <t>IKEA 瑞典雞肉丸 8 顆 + 馬鈴薯泥</t>
        </is>
      </c>
      <c r="E248" s="45" t="n">
        <v>21</v>
      </c>
      <c r="F248" s="45" t="n">
        <v>430</v>
      </c>
      <c r="G248" s="45" t="inlineStr">
        <is>
          <t>IKEA 台灣官方菜單可確認 8 顆瑞典雞肉丸主餐搭配薯泥；使用者僅明確回報雞肉丸 8 顆與馬鈴薯泥，因此不另計未提及的雙色蔬菜、肉丸奶醬或越橘果醬。未提供實際薯泥重量；雞肉丸參考 HUVUDROLL 公開營養資料並以一般 8 顆餐廳份量估算，整份先記約蛋白質 21g、碳水 35g、430 kcal，實際份量可能有明顯差異。</t>
        </is>
      </c>
      <c r="H248" s="45" t="n">
        <v>35</v>
      </c>
    </row>
    <row r="249">
      <c r="A249" s="441" t="n">
        <v>46277</v>
      </c>
      <c r="B249" s="42" t="inlineStr">
        <is>
          <t>晚餐</t>
        </is>
      </c>
      <c r="C249" s="36" t="inlineStr">
        <is>
          <t>使用者回報＋既有同品項透明估算</t>
        </is>
      </c>
      <c r="D249" s="45" t="inlineStr">
        <is>
          <t>雞肉飯 1 碗</t>
        </is>
      </c>
      <c r="E249" s="45" t="n">
        <v>25</v>
      </c>
      <c r="F249" s="45" t="n">
        <v>500</v>
      </c>
      <c r="G249" s="45" t="inlineStr">
        <is>
          <t>沿用追蹤表 2026-09-08 相同『雞肉飯 1 碗』估算：約蛋白質 25g、碳水 65g、500 kcal；未提供店家與份量，實際依飯量、雞肉量與雞油而變動。</t>
        </is>
      </c>
      <c r="H249" s="45" t="n">
        <v>65</v>
      </c>
    </row>
    <row r="250">
      <c r="A250" s="441" t="n">
        <v>46277</v>
      </c>
      <c r="B250" s="42" t="inlineStr">
        <is>
          <t>晚餐</t>
        </is>
      </c>
      <c r="C250" s="36" t="inlineStr">
        <is>
          <t>使用者回報</t>
        </is>
      </c>
      <c r="D250" s="45" t="inlineStr">
        <is>
          <t>晚間額外蛋白質 52g</t>
        </is>
      </c>
      <c r="E250" s="45" t="n">
        <v>52</v>
      </c>
      <c r="F250" s="45" t="inlineStr"/>
      <c r="G250" s="45" t="inlineStr">
        <is>
          <t>使用者回報 2026-09-12 晚上另外攝取蛋白質 52g；未提供品牌、來源、熱量或碳水，因此僅記錄蛋白質，其餘不猜。</t>
        </is>
      </c>
      <c r="H250" s="45" t="inlineStr"/>
    </row>
    <row r="251">
      <c r="A251" s="441" t="n">
        <v>46278</v>
      </c>
      <c r="B251" s="42" t="inlineStr">
        <is>
          <t>早餐</t>
        </is>
      </c>
      <c r="C251" s="36" t="inlineStr">
        <is>
          <t>使用者回報</t>
        </is>
      </c>
      <c r="D251" s="45" t="inlineStr">
        <is>
          <t>未進食</t>
        </is>
      </c>
      <c r="E251" s="45" t="n">
        <v>0</v>
      </c>
      <c r="F251" s="45" t="n">
        <v>0</v>
      </c>
      <c r="G251" s="45" t="inlineStr">
        <is>
          <t>使用者明確回報早上沒有吃東西。</t>
        </is>
      </c>
      <c r="H251" s="45" t="n">
        <v>0</v>
      </c>
    </row>
    <row r="252">
      <c r="A252" s="441" t="n">
        <v>46278</v>
      </c>
      <c r="B252" s="42" t="inlineStr">
        <is>
          <t>午餐</t>
        </is>
      </c>
      <c r="C252" s="36" t="inlineStr">
        <is>
          <t>使用者回報＋麥當勞台灣現售品項確認＋透明估算</t>
        </is>
      </c>
      <c r="D252" s="45" t="inlineStr">
        <is>
          <t>麥當勞 雙層麥香魚 1 個 + 大薯 1 份</t>
        </is>
      </c>
      <c r="E252" s="45" t="n">
        <v>30.6</v>
      </c>
      <c r="F252" s="45" t="n">
        <v>958</v>
      </c>
      <c r="G252" s="45" t="inlineStr">
        <is>
          <t>麥當勞台灣官網目前可確認雙層麥香魚與大薯為現售品項。雙層麥香魚完整營養數字官網動態頁未直接顯示，本筆沿用公開歷史同品項資料約 485 kcal、蛋白質 23.2g、碳水 43.3g；大薯採近期整理約 473 kcal、蛋白質 7.4g、碳水 63g。合計約 958 kcal、蛋白質 30.6g、碳水 106.3g；實際配方或份量若有更新會有誤差。</t>
        </is>
      </c>
      <c r="H252" s="45" t="n">
        <v>106.3</v>
      </c>
    </row>
    <row r="253">
      <c r="A253" s="441" t="n">
        <v>46278</v>
      </c>
      <c r="B253" s="42" t="inlineStr">
        <is>
          <t>午餐</t>
        </is>
      </c>
      <c r="C253" s="36" t="inlineStr">
        <is>
          <t>使用者回報</t>
        </is>
      </c>
      <c r="D253" s="45" t="inlineStr">
        <is>
          <t>額外蛋白質 52g</t>
        </is>
      </c>
      <c r="E253" s="45" t="n">
        <v>52</v>
      </c>
      <c r="F253" s="45" t="inlineStr"/>
      <c r="G253" s="45" t="inlineStr">
        <is>
          <t>使用者回報午餐另外攝取蛋白質 52g；未提供來源、品牌、熱量或碳水，因此僅記錄蛋白質，其餘不猜。</t>
        </is>
      </c>
      <c r="H253" s="45" t="inlineStr"/>
    </row>
    <row r="254">
      <c r="A254" s="441" t="n">
        <v>46278</v>
      </c>
      <c r="B254" s="42" t="inlineStr">
        <is>
          <t>晚餐</t>
        </is>
      </c>
      <c r="C254" s="36" t="inlineStr">
        <is>
          <t>使用者回報＋Pizza Hut 台灣官方現售品項確認</t>
        </is>
      </c>
      <c r="D254" s="45" t="inlineStr">
        <is>
          <t>Pizza Hut 極炙厚牛干貝海陸披薩 2 片</t>
        </is>
      </c>
      <c r="E254" s="45" t="inlineStr"/>
      <c r="F254" s="45" t="inlineStr"/>
      <c r="G254" s="45" t="inlineStr">
        <is>
          <t>Pizza Hut 台灣官方目前現售『極炙厚牛干貝海陸』，配料含炭火風燒牛肉、干貝、櫛瓜、番茄、洋蔥、莫札瑞拉起司、BBQ醬、炭火燒肉醬與明太子醬。使用者回報吃 2 片；未提供餅皮，官方頁面亦未提供可直接核對的完整營養標示，因此蛋白質、碳水與熱量留空，不自行猜測。</t>
        </is>
      </c>
      <c r="H254" s="45" t="inlineStr"/>
    </row>
    <row r="255">
      <c r="A255" s="441" t="n">
        <v>46278</v>
      </c>
      <c r="B255" s="42" t="inlineStr">
        <is>
          <t>晚餐</t>
        </is>
      </c>
      <c r="C255" s="36" t="inlineStr">
        <is>
          <t>使用者回報</t>
        </is>
      </c>
      <c r="D255" s="45" t="inlineStr">
        <is>
          <t>晚間額外蛋白質 52g</t>
        </is>
      </c>
      <c r="E255" s="45" t="n">
        <v>52</v>
      </c>
      <c r="F255" s="45" t="inlineStr"/>
      <c r="G255" s="45" t="inlineStr">
        <is>
          <t>使用者於 2026-09-14 00:44 延續 2026-09-13 晚餐與當日蛋白質紀錄，回報晚上另外喝了蛋白質 52g；依上下文歸入 2026-09-13 晚餐追加。未提供品牌、來源、熱量或碳水，因此僅記錄蛋白質 52g，其餘不猜。</t>
        </is>
      </c>
      <c r="H255" s="45" t="inlineStr"/>
    </row>
    <row r="256">
      <c r="A256" s="441" t="n">
        <v>46279</v>
      </c>
      <c r="B256" s="42" t="inlineStr">
        <is>
          <t>早餐</t>
        </is>
      </c>
      <c r="C256" s="36" t="inlineStr">
        <is>
          <t>使用者回報＋既有固定估算</t>
        </is>
      </c>
      <c r="D256" s="45" t="inlineStr">
        <is>
          <t>地瓜 1 份 + 雞胸肉 1 份</t>
        </is>
      </c>
      <c r="E256" s="45" t="n">
        <v>32</v>
      </c>
      <c r="F256" s="45" t="n">
        <v>285</v>
      </c>
      <c r="G256" s="45" t="inlineStr">
        <is>
          <t>沿用追蹤表既有相同組合設定：地瓜 1 份約蛋白質 2g、碳水 35g、125 kcal；雞胸肉 1 份約蛋白質 30g、160 kcal。</t>
        </is>
      </c>
      <c r="H256" s="45" t="n">
        <v>35</v>
      </c>
    </row>
    <row r="257">
      <c r="A257" s="441" t="n">
        <v>46279</v>
      </c>
      <c r="B257" s="42" t="inlineStr">
        <is>
          <t>午餐</t>
        </is>
      </c>
      <c r="C257" s="36" t="inlineStr">
        <is>
          <t>使用者回報＋沿用既有同品項透明估算</t>
        </is>
      </c>
      <c r="D257" s="45" t="inlineStr">
        <is>
          <t>三商鮮五丼 麻婆魚排套餐</t>
        </is>
      </c>
      <c r="E257" s="45" t="n">
        <v>30</v>
      </c>
      <c r="F257" s="45" t="n">
        <v>850</v>
      </c>
      <c r="G257" s="45" t="inlineStr">
        <is>
          <t>沿用追蹤表 2026-08-18 相同品項估算：約蛋白質 30g、碳水 105g、850 kcal。店家未提供完整營養標示，實際熱量仍會受飯量、炸魚排吸油與麻婆醬份量影響。</t>
        </is>
      </c>
      <c r="H257" s="45" t="n">
        <v>105</v>
      </c>
    </row>
    <row r="258">
      <c r="A258" s="441" t="n">
        <v>46279</v>
      </c>
      <c r="B258" s="42" t="inlineStr">
        <is>
          <t>午餐</t>
        </is>
      </c>
      <c r="C258" s="36" t="inlineStr">
        <is>
          <t>使用者回報</t>
        </is>
      </c>
      <c r="D258" s="45" t="inlineStr">
        <is>
          <t>額外蛋白質 52g</t>
        </is>
      </c>
      <c r="E258" s="45" t="n">
        <v>52</v>
      </c>
      <c r="F258" s="45" t="inlineStr"/>
      <c r="G258" s="45" t="inlineStr">
        <is>
          <t>使用者回報午餐另外攝取蛋白質 52g；未提供來源、品牌、熱量或碳水，因此僅記錄蛋白質，其餘不猜。</t>
        </is>
      </c>
      <c r="H258" s="45" t="inlineStr"/>
    </row>
    <row r="259">
      <c r="A259" s="441" t="n">
        <v>46279</v>
      </c>
      <c r="B259" s="42" t="inlineStr">
        <is>
          <t>晚餐</t>
        </is>
      </c>
      <c r="C259" s="36" t="inlineStr">
        <is>
          <t>使用者回報</t>
        </is>
      </c>
      <c r="D259" s="45" t="inlineStr">
        <is>
          <t>鹽水雞：雞胸肉 1 塊 + 6 樣菜</t>
        </is>
      </c>
      <c r="E259" s="45" t="inlineStr"/>
      <c r="F259" s="45" t="inlineStr"/>
      <c r="G259" s="45" t="inlineStr">
        <is>
          <t>使用者回報晚餐吃鹽水雞：雞胸肉 1 塊與 6 樣菜。未提供雞胸肉重量、6 樣菜的種類與份量，因此依規則不猜蛋白質、碳水或熱量，營養數值暫留空白。</t>
        </is>
      </c>
      <c r="H259" s="45" t="inlineStr"/>
    </row>
    <row r="260">
      <c r="A260" s="441" t="n">
        <v>46280</v>
      </c>
      <c r="B260" s="42" t="inlineStr">
        <is>
          <t>早餐</t>
        </is>
      </c>
      <c r="C260" s="36" t="inlineStr">
        <is>
          <t>使用者回報＋既有固定估算</t>
        </is>
      </c>
      <c r="D260" s="45" t="inlineStr">
        <is>
          <t>地瓜 1 份 + 雞胸肉 1 份</t>
        </is>
      </c>
      <c r="E260" s="45" t="n">
        <v>32</v>
      </c>
      <c r="F260" s="45" t="n">
        <v>285</v>
      </c>
      <c r="G260" s="45" t="inlineStr">
        <is>
          <t>沿用追蹤表既有相同組合設定：地瓜 1 份約蛋白質 2g、碳水 35g、125 kcal；雞胸肉 1 份約蛋白質 30g、160 kcal。</t>
        </is>
      </c>
      <c r="H260" s="45" t="n">
        <v>35</v>
      </c>
    </row>
    <row r="261">
      <c r="A261" s="441" t="n">
        <v>46280</v>
      </c>
      <c r="B261" s="42" t="inlineStr">
        <is>
          <t>午餐</t>
        </is>
      </c>
      <c r="C261" s="36" t="inlineStr">
        <is>
          <t>使用者回報</t>
        </is>
      </c>
      <c r="D261" s="45" t="inlineStr">
        <is>
          <t>額外蛋白質 52g</t>
        </is>
      </c>
      <c r="E261" s="45" t="n">
        <v>52</v>
      </c>
      <c r="F261" s="45" t="inlineStr"/>
      <c r="G261" s="45" t="inlineStr">
        <is>
          <t>使用者回報中午攝取蛋白質 52g；未提供來源、品牌、熱量或碳水，因此僅記錄蛋白質，其餘不猜。</t>
        </is>
      </c>
      <c r="H261" s="45" t="inlineStr"/>
    </row>
    <row r="262">
      <c r="A262" s="441" t="n">
        <v>46280</v>
      </c>
      <c r="B262" s="42" t="inlineStr">
        <is>
          <t>晚餐</t>
        </is>
      </c>
      <c r="C262" s="36" t="inlineStr">
        <is>
          <t>使用者回報＋照片份量透明估算</t>
        </is>
      </c>
      <c r="D262" s="45" t="inlineStr">
        <is>
          <t>雞肉飯 1 碗 + 滷蛋 1 顆 + 豆製品配料</t>
        </is>
      </c>
      <c r="E262" s="45" t="n">
        <v>45</v>
      </c>
      <c r="F262" s="45" t="n">
        <v>800</v>
      </c>
      <c r="G262" s="45" t="inlineStr">
        <is>
          <t>依使用者照片可見：白飯、較多撕雞肉、滷蛋 1 顆，以及豆干／豆皮類豆製品配料。實際重量未量測，先透明估算整碗約蛋白質 45g、碳水 90g、800 kcal；主要誤差來自白飯份量、雞肉實際重量、豆製品種類與醬汁用量，熱量可能上下浮動約 150–200 kcal。</t>
        </is>
      </c>
      <c r="H262" s="45" t="n">
        <v>90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DRAX 槓片式腿推機</t>
        </is>
      </c>
      <c r="B2" t="n">
        <v>40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2026-09-14</t>
        </is>
      </c>
      <c r="F2" t="n">
        <v>40</v>
      </c>
      <c r="G2" t="n">
        <v>12</v>
      </c>
      <c r="H2" t="n">
        <v>2</v>
      </c>
      <c r="I2" s="449" t="inlineStr">
        <is>
          <t>40kg×15/DBR4；40kg×15/DBR3；40kg×15/DBR1；40kg×12/DBR2</t>
        </is>
      </c>
      <c r="J2" s="449" t="inlineStr">
        <is>
          <t>正常</t>
        </is>
      </c>
      <c r="K2" s="449" t="inlineStr">
        <is>
          <t>最近一次訓練中 40 kg 有 3 組落在約 8–20 下、DBR1–3；以可重複的工作組表現優先，不直接選最高重量。</t>
        </is>
      </c>
    </row>
    <row r="3">
      <c r="A3" t="inlineStr">
        <is>
          <t>Gymleco Active Line 321 Chest Press</t>
        </is>
      </c>
      <c r="B3" t="n">
        <v>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2026-09-14</t>
        </is>
      </c>
      <c r="F3" t="n">
        <v>30</v>
      </c>
      <c r="G3" t="n">
        <v>15</v>
      </c>
      <c r="H3" t="n">
        <v>1</v>
      </c>
      <c r="I3" s="449" t="inlineStr">
        <is>
          <t>25kg×15/DBR1；25kg×15/DBR1；30kg×15/DBR1</t>
        </is>
      </c>
      <c r="J3" s="449" t="inlineStr">
        <is>
          <t>正常</t>
        </is>
      </c>
      <c r="K3" s="449" t="inlineStr">
        <is>
          <t>最近一次訓練中 25 kg 有 2 組落在約 8–20 下、DBR1–3；以可重複的工作組表現優先，不直接選最高重量。</t>
        </is>
      </c>
    </row>
    <row r="4">
      <c r="A4" t="inlineStr">
        <is>
          <t>上斜胸推</t>
        </is>
      </c>
      <c r="B4" t="inlineStr"/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2026-09-11</t>
        </is>
      </c>
      <c r="F4" t="n">
        <v>20</v>
      </c>
      <c r="G4" t="n">
        <v>12</v>
      </c>
      <c r="H4" t="n">
        <v>1</v>
      </c>
      <c r="I4" s="449" t="inlineStr">
        <is>
          <t>25kg×15/DBR1；25kg×13/DBR1；25kg×9/DBR0；20kg×12/DBR1</t>
        </is>
      </c>
      <c r="J4" s="449" t="inlineStr">
        <is>
          <t>疼痛／不適：暫不自動推薦重量</t>
        </is>
      </c>
      <c r="K4" s="449" t="inlineStr">
        <is>
          <t>最近一次訓練備註出現疼痛／不適；保留歷史重量，但下次先確認無痛，不依重量基準直接加載。</t>
        </is>
      </c>
    </row>
    <row r="5">
      <c r="A5" t="inlineStr">
        <is>
          <t>保加利亞分腿蹲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2026-09-11</t>
        </is>
      </c>
      <c r="F5" t="n">
        <v>10</v>
      </c>
      <c r="G5" t="n">
        <v>10</v>
      </c>
      <c r="H5" t="n">
        <v>1</v>
      </c>
      <c r="I5" s="449" t="inlineStr">
        <is>
          <t>左10kg×15/DBR2；左10kg×15/DBR2；左10kg×12/DBR2；左10kg×12/DBR2；左10kg×13/DBR2；右10kg×10/DBR2；左10kg×12/DBR1；右10kg×10/DBR1</t>
        </is>
      </c>
      <c r="J5" s="449" t="inlineStr">
        <is>
          <t>正常</t>
        </is>
      </c>
      <c r="K5" s="449" t="inlineStr">
        <is>
          <t>最近一次訓練中 10 kg 有 8 組落在約 8–20 下、DBR1–3；以可重複的工作組表現優先，不直接選最高重量。</t>
        </is>
      </c>
    </row>
    <row r="6">
      <c r="A6" t="inlineStr">
        <is>
          <t>划船</t>
        </is>
      </c>
      <c r="B6" t="n">
        <v>26.5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2026-09-07</t>
        </is>
      </c>
      <c r="F6" t="n">
        <v>30</v>
      </c>
      <c r="G6" t="n">
        <v>13</v>
      </c>
      <c r="H6" t="n">
        <v>0</v>
      </c>
      <c r="I6" s="449" t="inlineStr">
        <is>
          <t>26.5kg×15/DBR4；26.5kg×15/DBR2；30kg×13/DBR2；30kg×13/DBR0；30kg×13/DBR0</t>
        </is>
      </c>
      <c r="J6" s="449" t="inlineStr">
        <is>
          <t>正常</t>
        </is>
      </c>
      <c r="K6" s="449" t="inlineStr">
        <is>
          <t>最近一次訓練中 26.5 kg 有 1 組落在約 8–20 下、DBR1–3；以可重複的工作組表現優先，不直接選最高重量。</t>
        </is>
      </c>
    </row>
    <row r="7">
      <c r="A7" t="inlineStr">
        <is>
          <t>反向飛鳥</t>
        </is>
      </c>
      <c r="B7" t="n">
        <v>15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2026-09-11</t>
        </is>
      </c>
      <c r="F7" t="n">
        <v>15</v>
      </c>
      <c r="G7" t="n">
        <v>11</v>
      </c>
      <c r="H7" t="n">
        <v>1</v>
      </c>
      <c r="I7" s="449" t="inlineStr">
        <is>
          <t>15kg×15/DBR3；15kg×15/DBR1；15kg×13/DBR1；15kg×13/DBR1；15kg×11/DBR1</t>
        </is>
      </c>
      <c r="J7" s="449" t="inlineStr">
        <is>
          <t>正常</t>
        </is>
      </c>
      <c r="K7" s="449" t="inlineStr">
        <is>
          <t>最近一次訓練中 15 kg 有 5 組落在約 8–20 下、DBR1–3；以可重複的工作組表現優先，不直接選最高重量。</t>
        </is>
      </c>
    </row>
    <row r="8">
      <c r="A8" t="inlineStr">
        <is>
          <t>啞鈴側平舉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2026-09-07</t>
        </is>
      </c>
      <c r="F8" t="n">
        <v>10</v>
      </c>
      <c r="G8" t="n">
        <v>15</v>
      </c>
      <c r="H8" t="n">
        <v>0</v>
      </c>
      <c r="I8" s="449" t="inlineStr">
        <is>
          <t>10kg×15/DBR1；10kg×13/DBR1；10kg×14/DBR1；10kg×15/DBR0</t>
        </is>
      </c>
      <c r="J8" s="449" t="inlineStr">
        <is>
          <t>正常</t>
        </is>
      </c>
      <c r="K8" s="449" t="inlineStr">
        <is>
          <t>最近一次訓練中 10 kg 有 3 組落在約 8–20 下、DBR1–3；以可重複的工作組表現優先，不直接選最高重量。</t>
        </is>
      </c>
    </row>
    <row r="9">
      <c r="A9" t="inlineStr">
        <is>
          <t>滑輪下拉</t>
        </is>
      </c>
      <c r="B9" t="n">
        <v>37.5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2026-09-11</t>
        </is>
      </c>
      <c r="F9" t="n">
        <v>37.5</v>
      </c>
      <c r="G9" t="n">
        <v>8</v>
      </c>
      <c r="H9" t="n">
        <v>0</v>
      </c>
      <c r="I9" s="449" t="inlineStr">
        <is>
          <t>37.5kg×13/DBR2；37.5kg×13/DBR2；37.5kg×11/DBR1；37.5kg×8/DBR0</t>
        </is>
      </c>
      <c r="J9" s="449" t="inlineStr">
        <is>
          <t>正常</t>
        </is>
      </c>
      <c r="K9" s="449" t="inlineStr">
        <is>
          <t>最近一次訓練中 37.5 kg 有 3 組落在約 8–20 下、DBR1–3；以可重複的工作組表現優先，不直接選最高重量。</t>
        </is>
      </c>
    </row>
    <row r="10">
      <c r="A10" t="inlineStr">
        <is>
          <t>睾丸繩下拉</t>
        </is>
      </c>
      <c r="B10" t="n">
        <v>6.25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2026-08-14</t>
        </is>
      </c>
      <c r="F10" t="n">
        <v>6.25</v>
      </c>
      <c r="G10" t="n">
        <v>11</v>
      </c>
      <c r="H10" t="n">
        <v>0</v>
      </c>
      <c r="I10" s="449" t="inlineStr">
        <is>
          <t>8.75kg×11/DBR0；8.75kg×10/DBR0；6.25kg×13/DBR0；6.25kg×13/DBR0；6.25kg×11/DBR0</t>
        </is>
      </c>
      <c r="J10" s="449" t="inlineStr">
        <is>
          <t>正常</t>
        </is>
      </c>
      <c r="K10" s="449" t="inlineStr">
        <is>
          <t>最近一次已知組多為力竭；下次採該次較低重量重新建立 DBR1–3 的工作組。</t>
        </is>
      </c>
    </row>
    <row r="11">
      <c r="A11" t="inlineStr">
        <is>
          <t>羅馬尼亞分腿蹲</t>
        </is>
      </c>
      <c r="B11" t="n">
        <v>10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2026-09-05</t>
        </is>
      </c>
      <c r="F11" t="n">
        <v>10</v>
      </c>
      <c r="G11" t="n">
        <v>11</v>
      </c>
      <c r="H11" t="n">
        <v>1</v>
      </c>
      <c r="I11" s="449" t="inlineStr">
        <is>
          <t>左10kg×15/DBR3；右10kg×15/DBR3；左10kg×15/DBR2；右10kg×15/DBR2；左10kg×15/DBR1；右10kg×11/DBR1；左10kg×11/DBR2；右10kg×11/DBR1</t>
        </is>
      </c>
      <c r="J11" s="449" t="inlineStr">
        <is>
          <t>正常</t>
        </is>
      </c>
      <c r="K11" s="449" t="inlineStr">
        <is>
          <t>最近一次訓練中 10 kg 有 8 組落在約 8–20 下、DBR1–3；以可重複的工作組表現優先，不直接選最高重量。</t>
        </is>
      </c>
    </row>
    <row r="12">
      <c r="A12" t="inlineStr">
        <is>
          <t>羅馬尼亞蹲</t>
        </is>
      </c>
      <c r="B12" t="n">
        <v>5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2026-08-12</t>
        </is>
      </c>
      <c r="F12" t="n">
        <v>5</v>
      </c>
      <c r="G12" t="n">
        <v>14</v>
      </c>
      <c r="H12" t="n">
        <v>0</v>
      </c>
      <c r="I12" s="449" t="inlineStr">
        <is>
          <t>左自重×15/DBR3；右自重×15/DBR3；左5kg×15/DBR2；右5kg×8/DBR0；左5kg×14/DBR0；右5kg×14/DBR0；左5kg×14/DBR0；右5kg×14/DBR0</t>
        </is>
      </c>
      <c r="J12" s="449" t="inlineStr">
        <is>
          <t>正常</t>
        </is>
      </c>
      <c r="K12" s="449" t="inlineStr">
        <is>
          <t>最近一次訓練中 5 kg 有 1 組落在約 8–20 下、DBR1–3；以可重複的工作組表現優先，不直接選最高重量。</t>
        </is>
      </c>
    </row>
    <row r="13">
      <c r="A13" t="inlineStr">
        <is>
          <t>腿內收</t>
        </is>
      </c>
      <c r="B13" t="n">
        <v>37.5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2026-09-11</t>
        </is>
      </c>
      <c r="F13" t="n">
        <v>37.5</v>
      </c>
      <c r="G13" t="n">
        <v>13</v>
      </c>
      <c r="H13" t="n">
        <v>0</v>
      </c>
      <c r="I13" s="449" t="inlineStr">
        <is>
          <t>37.5kg×13/DBR2；37.5kg×13/DBR1；37.5kg×13/DBR1；37.5kg×13/DBR0</t>
        </is>
      </c>
      <c r="J13" s="449" t="inlineStr">
        <is>
          <t>正常</t>
        </is>
      </c>
      <c r="K13" s="449" t="inlineStr">
        <is>
          <t>最近一次訓練中 37.5 kg 有 3 組落在約 8–20 下、DBR1–3；以可重複的工作組表現優先，不直接選最高重量。</t>
        </is>
      </c>
    </row>
    <row r="14">
      <c r="A14" t="inlineStr">
        <is>
          <t>腿外展</t>
        </is>
      </c>
      <c r="B14" t="n">
        <v>45</v>
      </c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2026-09-07</t>
        </is>
      </c>
      <c r="F14" t="n">
        <v>45</v>
      </c>
      <c r="G14" t="n">
        <v>15</v>
      </c>
      <c r="H14" t="n">
        <v>2</v>
      </c>
      <c r="I14" s="449" t="inlineStr">
        <is>
          <t>40.8kg×15/DBR4；48.75kg×15/DBR1；45kg×15/DBR1；45kg×12/DBR2；45kg×15/DBR2</t>
        </is>
      </c>
      <c r="J14" s="449" t="inlineStr">
        <is>
          <t>正常</t>
        </is>
      </c>
      <c r="K14" s="449" t="inlineStr">
        <is>
          <t>最近一次訓練中 45 kg 有 3 組落在約 8–20 下、DBR1–3；以可重複的工作組表現優先，不直接選最高重量。</t>
        </is>
      </c>
    </row>
    <row r="15">
      <c r="A15" t="inlineStr">
        <is>
          <t>腿後勾</t>
        </is>
      </c>
      <c r="B15" t="n">
        <v>47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2026-09-14</t>
        </is>
      </c>
      <c r="F15" t="n">
        <v>47</v>
      </c>
      <c r="G15" t="n">
        <v>12</v>
      </c>
      <c r="H15" t="n">
        <v>0</v>
      </c>
      <c r="I15" s="449" t="inlineStr">
        <is>
          <t>47kg×15/DBR2；47kg×12/DBR2；47kg×12/DBR1；47kg×12/DBR0</t>
        </is>
      </c>
      <c r="J15" s="449" t="inlineStr">
        <is>
          <t>正常</t>
        </is>
      </c>
      <c r="K15" s="449" t="inlineStr">
        <is>
          <t>最近一次訓練中 47 kg 有 3 組落在約 8–20 下、DBR1–3；以可重複的工作組表現優先，不直接選最高重量。</t>
        </is>
      </c>
    </row>
    <row r="16">
      <c r="A16" t="inlineStr">
        <is>
          <t>腿推舉</t>
        </is>
      </c>
      <c r="B16" t="n">
        <v>40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2026-08-04</t>
        </is>
      </c>
      <c r="F16" t="n">
        <v>40</v>
      </c>
      <c r="G16" t="n">
        <v>16</v>
      </c>
      <c r="H16" t="n">
        <v>0</v>
      </c>
      <c r="I16" s="449" t="inlineStr">
        <is>
          <t>40kg×16/DBR3；40kg×18/DBR2；40kg×16/DBR1；40kg×16/DBR0</t>
        </is>
      </c>
      <c r="J16" s="449" t="inlineStr">
        <is>
          <t>正常</t>
        </is>
      </c>
      <c r="K16" s="449" t="inlineStr">
        <is>
          <t>最近一次訓練中 40 kg 有 3 組落在約 8–20 下、DBR1–3；以可重複的工作組表現優先，不直接選最高重量。</t>
        </is>
      </c>
    </row>
    <row r="17">
      <c r="A17" t="inlineStr">
        <is>
          <t>臀推機</t>
        </is>
      </c>
      <c r="B17" t="inlineStr"/>
      <c r="C17" t="inlineStr">
        <is>
          <t>10–15（特殊動作可依既有表現調整）</t>
        </is>
      </c>
      <c r="D17" t="inlineStr">
        <is>
          <t>1–3；最後一組可視情況 DBR0</t>
        </is>
      </c>
      <c r="E17" t="inlineStr">
        <is>
          <t>2026-08-28</t>
        </is>
      </c>
      <c r="F17" t="n">
        <v>20</v>
      </c>
      <c r="G17" t="n">
        <v>12</v>
      </c>
      <c r="H17" t="n">
        <v>2</v>
      </c>
      <c r="I17" s="449" t="inlineStr">
        <is>
          <t>20kg×12/DBR3；20kg×12/DBR2；20kg×12/DBR2</t>
        </is>
      </c>
      <c r="J17" s="449" t="inlineStr">
        <is>
          <t>疼痛／不適：暫不自動推薦重量</t>
        </is>
      </c>
      <c r="K17" s="449" t="inlineStr">
        <is>
          <t>最近一次訓練備註出現疼痛／不適；保留歷史重量，但下次先確認無痛，不依重量基準直接加載。</t>
        </is>
      </c>
    </row>
    <row r="18">
      <c r="A18" t="inlineStr">
        <is>
          <t>蝴蝶機夾胸</t>
        </is>
      </c>
      <c r="B18" t="n">
        <v>25</v>
      </c>
      <c r="C18" t="inlineStr">
        <is>
          <t>10–15（特殊動作可依既有表現調整）</t>
        </is>
      </c>
      <c r="D18" t="inlineStr">
        <is>
          <t>1–3；最後一組可視情況 DBR0</t>
        </is>
      </c>
      <c r="E18" t="inlineStr">
        <is>
          <t>2026-08-12</t>
        </is>
      </c>
      <c r="F18" t="n">
        <v>20</v>
      </c>
      <c r="G18" t="n">
        <v>13</v>
      </c>
      <c r="H18" t="n">
        <v>0</v>
      </c>
      <c r="I18" s="449" t="inlineStr">
        <is>
          <t>25kg×15/DBR3；20kg×15/DBR0；25kg×7/DBR0；20kg×13/DBR0</t>
        </is>
      </c>
      <c r="J18" s="449" t="inlineStr">
        <is>
          <t>正常</t>
        </is>
      </c>
      <c r="K18" s="449" t="inlineStr">
        <is>
          <t>最近一次訓練中 25 kg 有 1 組落在約 8–20 下、DBR1–3；以可重複的工作組表現優先，不直接選最高重量。</t>
        </is>
      </c>
    </row>
    <row r="19">
      <c r="A19" t="inlineStr">
        <is>
          <t>飛鳥夾胸</t>
        </is>
      </c>
      <c r="B19" t="n">
        <v>20</v>
      </c>
      <c r="C19" t="inlineStr">
        <is>
          <t>10–15（特殊動作可依既有表現調整）</t>
        </is>
      </c>
      <c r="D19" t="inlineStr">
        <is>
          <t>1–3；最後一組可視情況 DBR0</t>
        </is>
      </c>
      <c r="E19" t="inlineStr">
        <is>
          <t>2026-08-28</t>
        </is>
      </c>
      <c r="F19" t="n">
        <v>20</v>
      </c>
      <c r="G19" t="n">
        <v>10</v>
      </c>
      <c r="H19" t="n">
        <v>0</v>
      </c>
      <c r="I19" s="449" t="inlineStr">
        <is>
          <t>20kg×15/DBR3；20kg×14/DBR2；20kg×12/DBR1；20kg×10/DBR0</t>
        </is>
      </c>
      <c r="J19" s="449" t="inlineStr">
        <is>
          <t>正常</t>
        </is>
      </c>
      <c r="K19" s="449" t="inlineStr">
        <is>
          <t>最近一次訓練中 20 kg 有 3 組落在約 8–20 下、DBR1–3；以可重複的工作組表現優先，不直接選最高重量。</t>
        </is>
      </c>
    </row>
  </sheetData>
  <autoFilter ref="A1:K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2026-09-15T14:11:24Z</dcterms:modified>
</cp:coreProperties>
</file>