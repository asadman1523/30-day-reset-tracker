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'動作基準'!$A$1:$K$19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2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164" fontId="0" fillId="59" borderId="7" applyAlignment="1" pivotButton="0" quotePrefix="0" xfId="0">
      <alignment horizontal="center" vertical="center" wrapText="1"/>
    </xf>
    <xf numFmtId="0" fontId="8" fillId="58" borderId="5" applyAlignment="1" pivotButton="0" quotePrefix="0" xfId="0">
      <alignment horizontal="center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  <row r="39">
      <c r="A39" s="450" t="n">
        <v>46276</v>
      </c>
      <c r="B39" s="451" t="n"/>
      <c r="C39" s="222" t="n"/>
      <c r="D39" s="218" t="n"/>
      <c r="E39" s="44" t="n"/>
      <c r="F39" s="44" t="n"/>
      <c r="G39" s="218" t="n"/>
      <c r="H39" s="218" t="n">
        <v>20</v>
      </c>
      <c r="I39" s="218" t="n"/>
      <c r="J39" s="215" t="n"/>
    </row>
    <row r="40">
      <c r="A40" s="450" t="n">
        <v>46278</v>
      </c>
      <c r="B40" s="451" t="n"/>
      <c r="C40" s="222" t="n"/>
      <c r="D40" s="218" t="n"/>
      <c r="E40" s="44" t="n"/>
      <c r="F40" s="44" t="n"/>
      <c r="G40" s="218" t="inlineStr">
        <is>
          <t>否</t>
        </is>
      </c>
      <c r="H40" s="218" t="n">
        <v>0</v>
      </c>
      <c r="I40" s="218" t="n"/>
      <c r="J40" s="215" t="n"/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>
        <v>46270</v>
      </c>
      <c r="B134" s="34" t="inlineStr">
        <is>
          <t>重訓</t>
        </is>
      </c>
      <c r="C134" s="34" t="inlineStr">
        <is>
          <t>上斜胸推</t>
        </is>
      </c>
      <c r="D134" s="410" t="n">
        <v>1</v>
      </c>
      <c r="E134" s="411" t="n">
        <v>15</v>
      </c>
      <c r="F134" s="411" t="n">
        <v>15</v>
      </c>
      <c r="G134" s="411" t="n">
        <v>5</v>
      </c>
      <c r="H134" s="412">
        <f>IF(OR(E134="",F134=""),"",E134*F134)</f>
        <v/>
      </c>
      <c r="I134" s="44" t="inlineStr">
        <is>
          <t>椅背30度；啞鈴兩支合計15kg（每手7.5kg）。過去45度上斜胸推不再作有效重量基準；本日重新建立30度基準。</t>
        </is>
      </c>
    </row>
    <row r="135">
      <c r="A135" s="403" t="n">
        <v>46270</v>
      </c>
      <c r="B135" s="34" t="inlineStr">
        <is>
          <t>重訓</t>
        </is>
      </c>
      <c r="C135" s="34" t="inlineStr">
        <is>
          <t>上斜胸推</t>
        </is>
      </c>
      <c r="D135" s="410" t="n">
        <v>2</v>
      </c>
      <c r="E135" s="411" t="n">
        <v>20</v>
      </c>
      <c r="F135" s="411" t="n">
        <v>15</v>
      </c>
      <c r="G135" s="411" t="n">
        <v>3</v>
      </c>
      <c r="H135" s="412">
        <f>IF(OR(E135="",F135=""),"",E135*F135)</f>
        <v/>
      </c>
      <c r="I135" s="44" t="inlineStr">
        <is>
          <t>椅背30度；啞鈴兩支合計20kg（每手10kg）。</t>
        </is>
      </c>
    </row>
    <row r="136">
      <c r="A136" s="403" t="n">
        <v>46270</v>
      </c>
      <c r="B136" s="34" t="inlineStr">
        <is>
          <t>重訓</t>
        </is>
      </c>
      <c r="C136" s="34" t="inlineStr">
        <is>
          <t>上斜胸推</t>
        </is>
      </c>
      <c r="D136" s="410" t="n">
        <v>3</v>
      </c>
      <c r="E136" s="411" t="n">
        <v>20</v>
      </c>
      <c r="F136" s="411" t="n">
        <v>15</v>
      </c>
      <c r="G136" s="411" t="n">
        <v>3</v>
      </c>
      <c r="H136" s="412">
        <f>IF(OR(E136="",F136=""),"",E136*F136)</f>
        <v/>
      </c>
      <c r="I136" s="44" t="inlineStr">
        <is>
          <t>椅背30度；啞鈴兩支合計20kg（每手10kg）。</t>
        </is>
      </c>
    </row>
    <row r="137">
      <c r="A137" s="403" t="n">
        <v>46270</v>
      </c>
      <c r="B137" s="34" t="inlineStr">
        <is>
          <t>重訓</t>
        </is>
      </c>
      <c r="C137" s="34" t="inlineStr">
        <is>
          <t>上斜胸推</t>
        </is>
      </c>
      <c r="D137" s="410" t="n">
        <v>4</v>
      </c>
      <c r="E137" s="411" t="n">
        <v>25</v>
      </c>
      <c r="F137" s="411" t="n">
        <v>13</v>
      </c>
      <c r="G137" s="411" t="n">
        <v>1</v>
      </c>
      <c r="H137" s="412">
        <f>IF(OR(E137="",F137=""),"",E137*F137)</f>
        <v/>
      </c>
      <c r="I137" s="44" t="inlineStr">
        <is>
          <t>椅背30度；啞鈴兩支合計25kg（每手12.5kg）。</t>
        </is>
      </c>
    </row>
    <row r="138">
      <c r="A138" s="403" t="n">
        <v>46270</v>
      </c>
      <c r="B138" s="34" t="inlineStr">
        <is>
          <t>重訓</t>
        </is>
      </c>
      <c r="C138" s="34" t="inlineStr">
        <is>
          <t>上斜胸推</t>
        </is>
      </c>
      <c r="D138" s="410" t="n">
        <v>5</v>
      </c>
      <c r="E138" s="411" t="n">
        <v>25</v>
      </c>
      <c r="F138" s="411" t="n">
        <v>8</v>
      </c>
      <c r="G138" s="411" t="n">
        <v>0</v>
      </c>
      <c r="H138" s="412">
        <f>IF(OR(E138="",F138=""),"",E138*F138)</f>
        <v/>
      </c>
      <c r="I138" s="44" t="inlineStr">
        <is>
          <t>椅背30度；啞鈴兩支合計25kg（每手12.5kg）；本組力竭。使用者回報今日二頭肌明顯疲勞。</t>
        </is>
      </c>
    </row>
    <row r="139">
      <c r="A139" s="403" t="n">
        <v>46270</v>
      </c>
      <c r="B139" s="34" t="inlineStr">
        <is>
          <t>重訓</t>
        </is>
      </c>
      <c r="C139" s="34" t="inlineStr">
        <is>
          <t>羅馬尼亞分腿蹲</t>
        </is>
      </c>
      <c r="D139" s="410" t="n">
        <v>1</v>
      </c>
      <c r="E139" s="411" t="n">
        <v>10</v>
      </c>
      <c r="F139" s="411" t="n">
        <v>15</v>
      </c>
      <c r="G139" s="411" t="n">
        <v>3</v>
      </c>
      <c r="H139" s="412">
        <f>IF(OR(E139="",F139=""),"",E139*F139)</f>
        <v/>
      </c>
      <c r="I139" s="44" t="inlineStr">
        <is>
          <t>左腳；每手5kg，兩手總負重10kg。</t>
        </is>
      </c>
    </row>
    <row r="140">
      <c r="A140" s="403" t="n">
        <v>46270</v>
      </c>
      <c r="B140" s="34" t="inlineStr">
        <is>
          <t>重訓</t>
        </is>
      </c>
      <c r="C140" s="34" t="inlineStr">
        <is>
          <t>羅馬尼亞分腿蹲</t>
        </is>
      </c>
      <c r="D140" s="410" t="n">
        <v>2</v>
      </c>
      <c r="E140" s="411" t="n">
        <v>10</v>
      </c>
      <c r="F140" s="411" t="n">
        <v>15</v>
      </c>
      <c r="G140" s="411" t="n">
        <v>3</v>
      </c>
      <c r="H140" s="412">
        <f>IF(OR(E140="",F140=""),"",E140*F140)</f>
        <v/>
      </c>
      <c r="I140" s="44" t="inlineStr">
        <is>
          <t>右腳；每手5kg，兩手總負重10kg。</t>
        </is>
      </c>
    </row>
    <row r="141">
      <c r="A141" s="403" t="n">
        <v>46270</v>
      </c>
      <c r="B141" s="34" t="inlineStr">
        <is>
          <t>重訓</t>
        </is>
      </c>
      <c r="C141" s="34" t="inlineStr">
        <is>
          <t>羅馬尼亞分腿蹲</t>
        </is>
      </c>
      <c r="D141" s="410" t="n">
        <v>3</v>
      </c>
      <c r="E141" s="411" t="n">
        <v>10</v>
      </c>
      <c r="F141" s="411" t="n">
        <v>15</v>
      </c>
      <c r="G141" s="411" t="n">
        <v>2</v>
      </c>
      <c r="H141" s="412">
        <f>IF(OR(E141="",F141=""),"",E141*F141)</f>
        <v/>
      </c>
      <c r="I141" s="44" t="inlineStr">
        <is>
          <t>左腳；每手5kg，兩手總負重10kg。</t>
        </is>
      </c>
    </row>
    <row r="142">
      <c r="A142" s="403" t="n">
        <v>46270</v>
      </c>
      <c r="B142" s="34" t="inlineStr">
        <is>
          <t>重訓</t>
        </is>
      </c>
      <c r="C142" s="34" t="inlineStr">
        <is>
          <t>羅馬尼亞分腿蹲</t>
        </is>
      </c>
      <c r="D142" s="410" t="n">
        <v>4</v>
      </c>
      <c r="E142" s="411" t="n">
        <v>10</v>
      </c>
      <c r="F142" s="411" t="n">
        <v>15</v>
      </c>
      <c r="G142" s="411" t="n">
        <v>2</v>
      </c>
      <c r="H142" s="412">
        <f>IF(OR(E142="",F142=""),"",E142*F142)</f>
        <v/>
      </c>
      <c r="I142" s="44" t="inlineStr">
        <is>
          <t>右腳；每手5kg，兩手總負重10kg。</t>
        </is>
      </c>
    </row>
    <row r="143">
      <c r="A143" s="403" t="n">
        <v>46270</v>
      </c>
      <c r="B143" s="34" t="inlineStr">
        <is>
          <t>重訓</t>
        </is>
      </c>
      <c r="C143" s="34" t="inlineStr">
        <is>
          <t>羅馬尼亞分腿蹲</t>
        </is>
      </c>
      <c r="D143" s="410" t="n">
        <v>5</v>
      </c>
      <c r="E143" s="411" t="n">
        <v>10</v>
      </c>
      <c r="F143" s="411" t="n">
        <v>15</v>
      </c>
      <c r="G143" s="411" t="n">
        <v>1</v>
      </c>
      <c r="H143" s="412">
        <f>IF(OR(E143="",F143=""),"",E143*F143)</f>
        <v/>
      </c>
      <c r="I143" s="44" t="inlineStr">
        <is>
          <t>左腳；每手5kg，兩手總負重10kg。</t>
        </is>
      </c>
    </row>
    <row r="144">
      <c r="A144" s="403" t="n">
        <v>46270</v>
      </c>
      <c r="B144" s="34" t="inlineStr">
        <is>
          <t>重訓</t>
        </is>
      </c>
      <c r="C144" s="34" t="inlineStr">
        <is>
          <t>羅馬尼亞分腿蹲</t>
        </is>
      </c>
      <c r="D144" s="410" t="n">
        <v>6</v>
      </c>
      <c r="E144" s="411" t="n">
        <v>10</v>
      </c>
      <c r="F144" s="411" t="n">
        <v>11</v>
      </c>
      <c r="G144" s="411" t="n">
        <v>1</v>
      </c>
      <c r="H144" s="412">
        <f>IF(OR(E144="",F144=""),"",E144*F144)</f>
        <v/>
      </c>
      <c r="I144" s="44" t="inlineStr">
        <is>
          <t>右腳；每手5kg，兩手總負重10kg。</t>
        </is>
      </c>
    </row>
    <row r="145">
      <c r="A145" s="403" t="n">
        <v>46270</v>
      </c>
      <c r="B145" s="34" t="inlineStr">
        <is>
          <t>重訓</t>
        </is>
      </c>
      <c r="C145" s="34" t="inlineStr">
        <is>
          <t>羅馬尼亞分腿蹲</t>
        </is>
      </c>
      <c r="D145" s="410" t="n">
        <v>7</v>
      </c>
      <c r="E145" s="411" t="n">
        <v>10</v>
      </c>
      <c r="F145" s="411" t="n">
        <v>11</v>
      </c>
      <c r="G145" s="411" t="n">
        <v>2</v>
      </c>
      <c r="H145" s="412">
        <f>IF(OR(E145="",F145=""),"",E145*F145)</f>
        <v/>
      </c>
      <c r="I145" s="44" t="inlineStr">
        <is>
          <t>左腳；每手5kg，兩手總負重10kg；最後一輪右腳先做。</t>
        </is>
      </c>
    </row>
    <row r="146">
      <c r="A146" s="403" t="n">
        <v>46270</v>
      </c>
      <c r="B146" s="34" t="inlineStr">
        <is>
          <t>重訓</t>
        </is>
      </c>
      <c r="C146" s="34" t="inlineStr">
        <is>
          <t>羅馬尼亞分腿蹲</t>
        </is>
      </c>
      <c r="D146" s="410" t="n">
        <v>8</v>
      </c>
      <c r="E146" s="411" t="n">
        <v>10</v>
      </c>
      <c r="F146" s="411" t="n">
        <v>11</v>
      </c>
      <c r="G146" s="411" t="n">
        <v>1</v>
      </c>
      <c r="H146" s="412">
        <f>IF(OR(E146="",F146=""),"",E146*F146)</f>
        <v/>
      </c>
      <c r="I146" s="44" t="inlineStr">
        <is>
          <t>右腳；每手5kg，兩手總負重10kg；最後一輪右腳先做。</t>
        </is>
      </c>
    </row>
    <row r="147">
      <c r="A147" s="403" t="n">
        <v>46270</v>
      </c>
      <c r="B147" s="34" t="inlineStr">
        <is>
          <t>重訓</t>
        </is>
      </c>
      <c r="C147" s="34" t="inlineStr">
        <is>
          <t>滑輪下拉</t>
        </is>
      </c>
      <c r="D147" s="410" t="n">
        <v>1</v>
      </c>
      <c r="E147" s="411" t="n">
        <v>30</v>
      </c>
      <c r="F147" s="411" t="n">
        <v>15</v>
      </c>
      <c r="G147" s="411" t="n">
        <v>4</v>
      </c>
      <c r="H147" s="412">
        <f>IF(OR(E147="",F147=""),"",E147*F147)</f>
        <v/>
      </c>
      <c r="I147" s="44" t="inlineStr">
        <is>
          <t>使用者更正第一組重量為30kg，非37.5kg。</t>
        </is>
      </c>
    </row>
    <row r="148">
      <c r="A148" s="403" t="n">
        <v>46270</v>
      </c>
      <c r="B148" s="34" t="inlineStr">
        <is>
          <t>重訓</t>
        </is>
      </c>
      <c r="C148" s="34" t="inlineStr">
        <is>
          <t>滑輪下拉</t>
        </is>
      </c>
      <c r="D148" s="410" t="n">
        <v>2</v>
      </c>
      <c r="E148" s="411" t="n">
        <v>37.5</v>
      </c>
      <c r="F148" s="411" t="n">
        <v>14</v>
      </c>
      <c r="G148" s="411" t="n">
        <v>2</v>
      </c>
      <c r="H148" s="412">
        <f>IF(OR(E148="",F148=""),"",E148*F148)</f>
        <v/>
      </c>
      <c r="I148" s="44" t="inlineStr">
        <is>
          <t>使用者回報。</t>
        </is>
      </c>
    </row>
    <row r="149">
      <c r="A149" s="403" t="n">
        <v>46270</v>
      </c>
      <c r="B149" s="34" t="inlineStr">
        <is>
          <t>重訓</t>
        </is>
      </c>
      <c r="C149" s="34" t="inlineStr">
        <is>
          <t>滑輪下拉</t>
        </is>
      </c>
      <c r="D149" s="410" t="n">
        <v>3</v>
      </c>
      <c r="E149" s="411" t="n">
        <v>37.5</v>
      </c>
      <c r="F149" s="411" t="n">
        <v>12</v>
      </c>
      <c r="G149" s="411" t="n">
        <v>2</v>
      </c>
      <c r="H149" s="412">
        <f>IF(OR(E149="",F149=""),"",E149*F149)</f>
        <v/>
      </c>
      <c r="I149" s="44" t="inlineStr">
        <is>
          <t>使用者回報。</t>
        </is>
      </c>
    </row>
    <row r="150">
      <c r="A150" s="403" t="n">
        <v>46270</v>
      </c>
      <c r="B150" s="34" t="inlineStr">
        <is>
          <t>重訓</t>
        </is>
      </c>
      <c r="C150" s="34" t="inlineStr">
        <is>
          <t>滑輪下拉</t>
        </is>
      </c>
      <c r="D150" s="410" t="n">
        <v>4</v>
      </c>
      <c r="E150" s="411" t="n">
        <v>37.5</v>
      </c>
      <c r="F150" s="411" t="n">
        <v>12</v>
      </c>
      <c r="G150" s="411" t="n">
        <v>1</v>
      </c>
      <c r="H150" s="412">
        <f>IF(OR(E150="",F150=""),"",E150*F150)</f>
        <v/>
      </c>
      <c r="I150" s="44" t="inlineStr">
        <is>
          <t>使用者回報。</t>
        </is>
      </c>
    </row>
    <row r="151">
      <c r="A151" s="403" t="n">
        <v>46270</v>
      </c>
      <c r="B151" s="34" t="inlineStr">
        <is>
          <t>重訓</t>
        </is>
      </c>
      <c r="C151" s="34" t="inlineStr">
        <is>
          <t>反向飛鳥</t>
        </is>
      </c>
      <c r="D151" s="410" t="n">
        <v>1</v>
      </c>
      <c r="E151" s="411" t="n">
        <v>20</v>
      </c>
      <c r="F151" s="411" t="n">
        <v>8</v>
      </c>
      <c r="G151" s="411" t="n">
        <v>1</v>
      </c>
      <c r="H151" s="412">
        <f>IF(OR(E151="",F151=""),"",E151*F151)</f>
        <v/>
      </c>
      <c r="I151" s="44" t="inlineStr">
        <is>
          <t>使用者回報。</t>
        </is>
      </c>
    </row>
    <row r="152">
      <c r="A152" s="403" t="n">
        <v>46270</v>
      </c>
      <c r="B152" s="34" t="inlineStr">
        <is>
          <t>重訓</t>
        </is>
      </c>
      <c r="C152" s="34" t="inlineStr">
        <is>
          <t>反向飛鳥</t>
        </is>
      </c>
      <c r="D152" s="410" t="n">
        <v>2</v>
      </c>
      <c r="E152" s="411" t="n">
        <v>15</v>
      </c>
      <c r="F152" s="411" t="n">
        <v>11</v>
      </c>
      <c r="G152" s="411" t="n">
        <v>1</v>
      </c>
      <c r="H152" s="412">
        <f>IF(OR(E152="",F152=""),"",E152*F152)</f>
        <v/>
      </c>
      <c r="I152" s="44" t="inlineStr">
        <is>
          <t>使用者回報。</t>
        </is>
      </c>
    </row>
    <row r="153">
      <c r="A153" s="403" t="n">
        <v>46270</v>
      </c>
      <c r="B153" s="34" t="inlineStr">
        <is>
          <t>重訓</t>
        </is>
      </c>
      <c r="C153" s="34" t="inlineStr">
        <is>
          <t>反向飛鳥</t>
        </is>
      </c>
      <c r="D153" s="410" t="n">
        <v>3</v>
      </c>
      <c r="E153" s="411" t="n">
        <v>15</v>
      </c>
      <c r="F153" s="411" t="n">
        <v>12</v>
      </c>
      <c r="G153" s="411" t="n">
        <v>0</v>
      </c>
      <c r="H153" s="412">
        <f>IF(OR(E153="",F153=""),"",E153*F153)</f>
        <v/>
      </c>
      <c r="I153" s="44" t="inlineStr">
        <is>
          <t>使用者回報；本組力竭。</t>
        </is>
      </c>
    </row>
    <row r="154">
      <c r="A154" s="403" t="n">
        <v>46270</v>
      </c>
      <c r="B154" s="34" t="inlineStr">
        <is>
          <t>重訓</t>
        </is>
      </c>
      <c r="C154" s="34" t="inlineStr">
        <is>
          <t>腿內收</t>
        </is>
      </c>
      <c r="D154" s="410" t="n">
        <v>1</v>
      </c>
      <c r="E154" s="411" t="n">
        <v>37.5</v>
      </c>
      <c r="F154" s="411" t="n">
        <v>13</v>
      </c>
      <c r="G154" s="411" t="n">
        <v>2</v>
      </c>
      <c r="H154" s="412">
        <f>IF(OR(E154="",F154=""),"",E154*F154)</f>
        <v/>
      </c>
      <c r="I154" s="44" t="inlineStr">
        <is>
          <t>使用者回報。</t>
        </is>
      </c>
    </row>
    <row r="155">
      <c r="A155" s="403" t="n">
        <v>46270</v>
      </c>
      <c r="B155" s="34" t="inlineStr">
        <is>
          <t>重訓</t>
        </is>
      </c>
      <c r="C155" s="34" t="inlineStr">
        <is>
          <t>腿內收</t>
        </is>
      </c>
      <c r="D155" s="410" t="n">
        <v>2</v>
      </c>
      <c r="E155" s="411" t="n">
        <v>37.5</v>
      </c>
      <c r="F155" s="411" t="n">
        <v>14</v>
      </c>
      <c r="G155" s="411" t="n">
        <v>2</v>
      </c>
      <c r="H155" s="412">
        <f>IF(OR(E155="",F155=""),"",E155*F155)</f>
        <v/>
      </c>
      <c r="I155" s="44" t="inlineStr">
        <is>
          <t>使用者回報。</t>
        </is>
      </c>
    </row>
    <row r="156">
      <c r="A156" s="403" t="n">
        <v>46270</v>
      </c>
      <c r="B156" s="34" t="inlineStr">
        <is>
          <t>重訓</t>
        </is>
      </c>
      <c r="C156" s="34" t="inlineStr">
        <is>
          <t>腿內收</t>
        </is>
      </c>
      <c r="D156" s="410" t="n">
        <v>3</v>
      </c>
      <c r="E156" s="411" t="n">
        <v>37.5</v>
      </c>
      <c r="F156" s="411" t="n">
        <v>15</v>
      </c>
      <c r="G156" s="411" t="n">
        <v>0</v>
      </c>
      <c r="H156" s="412">
        <f>IF(OR(E156="",F156=""),"",E156*F156)</f>
        <v/>
      </c>
      <c r="I156" s="44" t="inlineStr">
        <is>
          <t>使用者回報；本組力竭。</t>
        </is>
      </c>
    </row>
    <row r="157">
      <c r="A157" s="403" t="n">
        <v>46272</v>
      </c>
      <c r="B157" s="34" t="inlineStr">
        <is>
          <t>重訓</t>
        </is>
      </c>
      <c r="C157" s="34" t="inlineStr">
        <is>
          <t>上斜胸推</t>
        </is>
      </c>
      <c r="D157" s="410" t="n">
        <v>1</v>
      </c>
      <c r="E157" s="411" t="n">
        <v>25</v>
      </c>
      <c r="F157" s="411" t="n">
        <v>15</v>
      </c>
      <c r="G157" s="411" t="n">
        <v>2</v>
      </c>
      <c r="H157" s="412">
        <f>IF(OR(E157="",F157=""),"",E157*F157)</f>
        <v/>
      </c>
      <c r="I157" s="44" t="inlineStr">
        <is>
          <t>30°啞鈴上斜胸推；重量為兩支啞鈴合計 25 kg（每手 12.5 kg）。</t>
        </is>
      </c>
    </row>
    <row r="158">
      <c r="A158" s="403" t="n">
        <v>46272</v>
      </c>
      <c r="B158" s="34" t="inlineStr">
        <is>
          <t>重訓</t>
        </is>
      </c>
      <c r="C158" s="34" t="inlineStr">
        <is>
          <t>上斜胸推</t>
        </is>
      </c>
      <c r="D158" s="410" t="n">
        <v>2</v>
      </c>
      <c r="E158" s="411" t="n">
        <v>25</v>
      </c>
      <c r="F158" s="411" t="n">
        <v>14</v>
      </c>
      <c r="G158" s="411" t="n">
        <v>2</v>
      </c>
      <c r="H158" s="412">
        <f>IF(OR(E158="",F158=""),"",E158*F158)</f>
        <v/>
      </c>
      <c r="I158" s="44" t="inlineStr">
        <is>
          <t>30°啞鈴上斜胸推；重量為兩支啞鈴合計 25 kg（每手 12.5 kg）。</t>
        </is>
      </c>
    </row>
    <row r="159">
      <c r="A159" s="403" t="n">
        <v>46272</v>
      </c>
      <c r="B159" s="34" t="inlineStr">
        <is>
          <t>重訓</t>
        </is>
      </c>
      <c r="C159" s="34" t="inlineStr">
        <is>
          <t>上斜胸推</t>
        </is>
      </c>
      <c r="D159" s="410" t="n">
        <v>3</v>
      </c>
      <c r="E159" s="411" t="n">
        <v>15</v>
      </c>
      <c r="F159" s="411" t="n">
        <v>11</v>
      </c>
      <c r="G159" s="411" t="n">
        <v>2</v>
      </c>
      <c r="H159" s="412">
        <f>IF(OR(E159="",F159=""),"",E159*F159)</f>
        <v/>
      </c>
      <c r="I159" s="44" t="inlineStr">
        <is>
          <t>30°啞鈴上斜胸推；重量為兩支啞鈴合計 15 kg（每手 7.5 kg）。</t>
        </is>
      </c>
    </row>
    <row r="160">
      <c r="A160" s="403" t="n">
        <v>46272</v>
      </c>
      <c r="B160" s="34" t="inlineStr">
        <is>
          <t>重訓</t>
        </is>
      </c>
      <c r="C160" s="34" t="inlineStr">
        <is>
          <t>上斜胸推</t>
        </is>
      </c>
      <c r="D160" s="410" t="n">
        <v>4</v>
      </c>
      <c r="E160" s="411" t="n">
        <v>20</v>
      </c>
      <c r="F160" s="411" t="n">
        <v>13</v>
      </c>
      <c r="G160" s="411" t="n">
        <v>2</v>
      </c>
      <c r="H160" s="412">
        <f>IF(OR(E160="",F160=""),"",E160*F160)</f>
        <v/>
      </c>
      <c r="I160" s="44" t="inlineStr">
        <is>
          <t>30°啞鈴上斜胸推；重量為兩支啞鈴合計 20 kg（每手 10 kg）。</t>
        </is>
      </c>
    </row>
    <row r="161">
      <c r="A161" s="403" t="n">
        <v>46272</v>
      </c>
      <c r="B161" s="34" t="inlineStr">
        <is>
          <t>重訓</t>
        </is>
      </c>
      <c r="C161" s="34" t="inlineStr">
        <is>
          <t>划船</t>
        </is>
      </c>
      <c r="D161" s="410" t="n">
        <v>1</v>
      </c>
      <c r="E161" s="411" t="n">
        <v>26.5</v>
      </c>
      <c r="F161" s="411" t="n">
        <v>15</v>
      </c>
      <c r="G161" s="411" t="n">
        <v>4</v>
      </c>
      <c r="H161" s="412">
        <f>IF(OR(E161="",F161=""),"",E161*F161)</f>
        <v/>
      </c>
      <c r="I161" s="44" t="inlineStr">
        <is>
          <t>使用者回報。</t>
        </is>
      </c>
    </row>
    <row r="162">
      <c r="A162" s="403" t="n">
        <v>46272</v>
      </c>
      <c r="B162" s="34" t="inlineStr">
        <is>
          <t>重訓</t>
        </is>
      </c>
      <c r="C162" s="34" t="inlineStr">
        <is>
          <t>划船</t>
        </is>
      </c>
      <c r="D162" s="410" t="n">
        <v>2</v>
      </c>
      <c r="E162" s="411" t="n">
        <v>26.5</v>
      </c>
      <c r="F162" s="411" t="n">
        <v>15</v>
      </c>
      <c r="G162" s="411" t="n">
        <v>2</v>
      </c>
      <c r="H162" s="412">
        <f>IF(OR(E162="",F162=""),"",E162*F162)</f>
        <v/>
      </c>
      <c r="I162" s="44" t="inlineStr">
        <is>
          <t>使用者更正：第二組仍為 26.5 kg，非 30 kg。</t>
        </is>
      </c>
    </row>
    <row r="163">
      <c r="A163" s="403" t="n">
        <v>46272</v>
      </c>
      <c r="B163" s="34" t="inlineStr">
        <is>
          <t>重訓</t>
        </is>
      </c>
      <c r="C163" s="34" t="inlineStr">
        <is>
          <t>划船</t>
        </is>
      </c>
      <c r="D163" s="410" t="n">
        <v>3</v>
      </c>
      <c r="E163" s="411" t="n">
        <v>30</v>
      </c>
      <c r="F163" s="411" t="n">
        <v>13</v>
      </c>
      <c r="G163" s="411" t="n">
        <v>2</v>
      </c>
      <c r="H163" s="412">
        <f>IF(OR(E163="",F163=""),"",E163*F163)</f>
        <v/>
      </c>
      <c r="I163" s="44" t="inlineStr">
        <is>
          <t>使用者回報。</t>
        </is>
      </c>
    </row>
    <row r="164">
      <c r="A164" s="403" t="n">
        <v>46272</v>
      </c>
      <c r="B164" s="34" t="inlineStr">
        <is>
          <t>重訓</t>
        </is>
      </c>
      <c r="C164" s="34" t="inlineStr">
        <is>
          <t>划船</t>
        </is>
      </c>
      <c r="D164" s="410" t="n">
        <v>4</v>
      </c>
      <c r="E164" s="411" t="n">
        <v>30</v>
      </c>
      <c r="F164" s="411" t="n">
        <v>13</v>
      </c>
      <c r="G164" s="411" t="n">
        <v>0</v>
      </c>
      <c r="H164" s="412">
        <f>IF(OR(E164="",F164=""),"",E164*F164)</f>
        <v/>
      </c>
      <c r="I164" s="44" t="inlineStr">
        <is>
          <t>使用者回報。</t>
        </is>
      </c>
    </row>
    <row r="165">
      <c r="A165" s="403" t="n">
        <v>46272</v>
      </c>
      <c r="B165" s="34" t="inlineStr">
        <is>
          <t>重訓</t>
        </is>
      </c>
      <c r="C165" s="34" t="inlineStr">
        <is>
          <t>划船</t>
        </is>
      </c>
      <c r="D165" s="410" t="n">
        <v>5</v>
      </c>
      <c r="E165" s="411" t="n">
        <v>30</v>
      </c>
      <c r="F165" s="411" t="n">
        <v>13</v>
      </c>
      <c r="G165" s="411" t="n">
        <v>0</v>
      </c>
      <c r="H165" s="412">
        <f>IF(OR(E165="",F165=""),"",E165*F165)</f>
        <v/>
      </c>
      <c r="I165" s="44" t="inlineStr">
        <is>
          <t>使用者補充：還有一組 30kg × 13，DBR0。</t>
        </is>
      </c>
    </row>
    <row r="166">
      <c r="A166" s="403" t="n">
        <v>46272</v>
      </c>
      <c r="B166" s="34" t="inlineStr">
        <is>
          <t>重訓</t>
        </is>
      </c>
      <c r="C166" s="34" t="inlineStr">
        <is>
          <t>腿後勾</t>
        </is>
      </c>
      <c r="D166" s="410" t="n">
        <v>1</v>
      </c>
      <c r="E166" s="411" t="n">
        <v>40</v>
      </c>
      <c r="F166" s="411" t="n">
        <v>15</v>
      </c>
      <c r="G166" s="411" t="n">
        <v>3</v>
      </c>
      <c r="H166" s="412">
        <f>IF(OR(E166="",F166=""),"",E166*F166)</f>
        <v/>
      </c>
      <c r="I166" s="44" t="inlineStr">
        <is>
          <t>使用者回報。</t>
        </is>
      </c>
    </row>
    <row r="167">
      <c r="A167" s="403" t="n">
        <v>46272</v>
      </c>
      <c r="B167" s="34" t="inlineStr">
        <is>
          <t>重訓</t>
        </is>
      </c>
      <c r="C167" s="34" t="inlineStr">
        <is>
          <t>腿後勾</t>
        </is>
      </c>
      <c r="D167" s="410" t="n">
        <v>2</v>
      </c>
      <c r="E167" s="411" t="n">
        <v>47</v>
      </c>
      <c r="F167" s="411" t="n">
        <v>15</v>
      </c>
      <c r="G167" s="411" t="n">
        <v>1</v>
      </c>
      <c r="H167" s="412">
        <f>IF(OR(E167="",F167=""),"",E167*F167)</f>
        <v/>
      </c>
      <c r="I167" s="44" t="inlineStr">
        <is>
          <t>使用者回報。</t>
        </is>
      </c>
    </row>
    <row r="168">
      <c r="A168" s="403" t="n">
        <v>46272</v>
      </c>
      <c r="B168" s="34" t="inlineStr">
        <is>
          <t>重訓</t>
        </is>
      </c>
      <c r="C168" s="34" t="inlineStr">
        <is>
          <t>腿後勾</t>
        </is>
      </c>
      <c r="D168" s="410" t="n">
        <v>3</v>
      </c>
      <c r="E168" s="411" t="n">
        <v>47</v>
      </c>
      <c r="F168" s="411" t="n">
        <v>12</v>
      </c>
      <c r="G168" s="411" t="n">
        <v>1</v>
      </c>
      <c r="H168" s="412">
        <f>IF(OR(E168="",F168=""),"",E168*F168)</f>
        <v/>
      </c>
      <c r="I168" s="44" t="inlineStr">
        <is>
          <t>使用者回報。</t>
        </is>
      </c>
    </row>
    <row r="169">
      <c r="A169" s="403" t="n">
        <v>46272</v>
      </c>
      <c r="B169" s="34" t="inlineStr">
        <is>
          <t>重訓</t>
        </is>
      </c>
      <c r="C169" s="34" t="inlineStr">
        <is>
          <t>腿後勾</t>
        </is>
      </c>
      <c r="D169" s="410" t="n">
        <v>4</v>
      </c>
      <c r="E169" s="411" t="n">
        <v>47</v>
      </c>
      <c r="F169" s="411" t="n">
        <v>13</v>
      </c>
      <c r="G169" s="411" t="n">
        <v>0</v>
      </c>
      <c r="H169" s="412">
        <f>IF(OR(E169="",F169=""),"",E169*F169)</f>
        <v/>
      </c>
      <c r="I169" s="44" t="inlineStr">
        <is>
          <t>使用者回報。</t>
        </is>
      </c>
    </row>
    <row r="170">
      <c r="A170" s="403" t="n">
        <v>46272</v>
      </c>
      <c r="B170" s="34" t="inlineStr">
        <is>
          <t>重訓</t>
        </is>
      </c>
      <c r="C170" s="34" t="inlineStr">
        <is>
          <t>腿外展</t>
        </is>
      </c>
      <c r="D170" s="410" t="n">
        <v>1</v>
      </c>
      <c r="E170" s="411" t="n">
        <v>40.8</v>
      </c>
      <c r="F170" s="411" t="n">
        <v>15</v>
      </c>
      <c r="G170" s="411" t="n">
        <v>4</v>
      </c>
      <c r="H170" s="412">
        <f>IF(OR(E170="",F170=""),"",E170*F170)</f>
        <v/>
      </c>
      <c r="I170" s="44" t="inlineStr">
        <is>
          <t>使用者回報。</t>
        </is>
      </c>
    </row>
    <row r="171">
      <c r="A171" s="403" t="n">
        <v>46272</v>
      </c>
      <c r="B171" s="34" t="inlineStr">
        <is>
          <t>重訓</t>
        </is>
      </c>
      <c r="C171" s="34" t="inlineStr">
        <is>
          <t>腿外展</t>
        </is>
      </c>
      <c r="D171" s="410" t="n">
        <v>2</v>
      </c>
      <c r="E171" s="411" t="n">
        <v>48.75</v>
      </c>
      <c r="F171" s="411" t="n">
        <v>15</v>
      </c>
      <c r="G171" s="411" t="n">
        <v>1</v>
      </c>
      <c r="H171" s="412">
        <f>IF(OR(E171="",F171=""),"",E171*F171)</f>
        <v/>
      </c>
      <c r="I171" s="44" t="inlineStr">
        <is>
          <t>使用者回報。</t>
        </is>
      </c>
    </row>
    <row r="172">
      <c r="A172" s="403" t="n">
        <v>46272</v>
      </c>
      <c r="B172" s="34" t="inlineStr">
        <is>
          <t>重訓</t>
        </is>
      </c>
      <c r="C172" s="34" t="inlineStr">
        <is>
          <t>腿外展</t>
        </is>
      </c>
      <c r="D172" s="410" t="n">
        <v>3</v>
      </c>
      <c r="E172" s="411" t="n">
        <v>45</v>
      </c>
      <c r="F172" s="411" t="n">
        <v>15</v>
      </c>
      <c r="G172" s="411" t="n">
        <v>1</v>
      </c>
      <c r="H172" s="412">
        <f>IF(OR(E172="",F172=""),"",E172*F172)</f>
        <v/>
      </c>
      <c r="I172" s="44" t="inlineStr">
        <is>
          <t>使用者回報。</t>
        </is>
      </c>
    </row>
    <row r="173">
      <c r="A173" s="403" t="n">
        <v>46272</v>
      </c>
      <c r="B173" s="34" t="inlineStr">
        <is>
          <t>重訓</t>
        </is>
      </c>
      <c r="C173" s="34" t="inlineStr">
        <is>
          <t>腿外展</t>
        </is>
      </c>
      <c r="D173" s="410" t="n">
        <v>4</v>
      </c>
      <c r="E173" s="411" t="n">
        <v>45</v>
      </c>
      <c r="F173" s="411" t="n">
        <v>12</v>
      </c>
      <c r="G173" s="411" t="n">
        <v>2</v>
      </c>
      <c r="H173" s="412">
        <f>IF(OR(E173="",F173=""),"",E173*F173)</f>
        <v/>
      </c>
      <c r="I173" s="44" t="inlineStr">
        <is>
          <t>使用者回報。</t>
        </is>
      </c>
    </row>
    <row r="174">
      <c r="A174" s="403" t="n">
        <v>46272</v>
      </c>
      <c r="B174" s="34" t="inlineStr">
        <is>
          <t>重訓</t>
        </is>
      </c>
      <c r="C174" s="34" t="inlineStr">
        <is>
          <t>腿外展</t>
        </is>
      </c>
      <c r="D174" s="410" t="n">
        <v>5</v>
      </c>
      <c r="E174" s="411" t="n">
        <v>45</v>
      </c>
      <c r="F174" s="411" t="n">
        <v>15</v>
      </c>
      <c r="G174" s="411" t="n">
        <v>2</v>
      </c>
      <c r="H174" s="412">
        <f>IF(OR(E174="",F174=""),"",E174*F174)</f>
        <v/>
      </c>
      <c r="I174" s="44" t="inlineStr">
        <is>
          <t>使用者追加回報。</t>
        </is>
      </c>
    </row>
    <row r="175">
      <c r="A175" s="403" t="n">
        <v>46272</v>
      </c>
      <c r="B175" s="34" t="inlineStr">
        <is>
          <t>重訓</t>
        </is>
      </c>
      <c r="C175" s="34" t="inlineStr">
        <is>
          <t>啞鈴側平舉</t>
        </is>
      </c>
      <c r="D175" s="410" t="n">
        <v>1</v>
      </c>
      <c r="E175" s="411" t="n">
        <v>10</v>
      </c>
      <c r="F175" s="411" t="n">
        <v>15</v>
      </c>
      <c r="G175" s="411" t="n">
        <v>1</v>
      </c>
      <c r="H175" s="412">
        <f>IF(OR(E175="",F175=""),"",E175*F175)</f>
        <v/>
      </c>
      <c r="I175" s="44" t="inlineStr">
        <is>
          <t>使用者回報。</t>
        </is>
      </c>
    </row>
    <row r="176">
      <c r="A176" s="403" t="n">
        <v>46272</v>
      </c>
      <c r="B176" s="34" t="inlineStr">
        <is>
          <t>重訓</t>
        </is>
      </c>
      <c r="C176" s="34" t="inlineStr">
        <is>
          <t>啞鈴側平舉</t>
        </is>
      </c>
      <c r="D176" s="410" t="n">
        <v>2</v>
      </c>
      <c r="E176" s="411" t="n">
        <v>10</v>
      </c>
      <c r="F176" s="411" t="n">
        <v>13</v>
      </c>
      <c r="G176" s="411" t="n">
        <v>1</v>
      </c>
      <c r="H176" s="412">
        <f>IF(OR(E176="",F176=""),"",E176*F176)</f>
        <v/>
      </c>
      <c r="I176" s="44" t="inlineStr">
        <is>
          <t>重量未重複提供，沿用上一組 10 kg。</t>
        </is>
      </c>
    </row>
    <row r="177">
      <c r="A177" s="403" t="n">
        <v>46272</v>
      </c>
      <c r="B177" s="34" t="inlineStr">
        <is>
          <t>重訓</t>
        </is>
      </c>
      <c r="C177" s="34" t="inlineStr">
        <is>
          <t>啞鈴側平舉</t>
        </is>
      </c>
      <c r="D177" s="410" t="n">
        <v>3</v>
      </c>
      <c r="E177" s="411" t="n">
        <v>10</v>
      </c>
      <c r="F177" s="411" t="n">
        <v>14</v>
      </c>
      <c r="G177" s="411" t="n">
        <v>1</v>
      </c>
      <c r="H177" s="412">
        <f>IF(OR(E177="",F177=""),"",E177*F177)</f>
        <v/>
      </c>
      <c r="I177" s="44" t="inlineStr">
        <is>
          <t>重量未重複提供，沿用上一組 10 kg。</t>
        </is>
      </c>
    </row>
    <row r="178">
      <c r="A178" s="403" t="n">
        <v>46272</v>
      </c>
      <c r="B178" s="34" t="inlineStr">
        <is>
          <t>重訓</t>
        </is>
      </c>
      <c r="C178" s="34" t="inlineStr">
        <is>
          <t>啞鈴側平舉</t>
        </is>
      </c>
      <c r="D178" s="410" t="n">
        <v>4</v>
      </c>
      <c r="E178" s="411" t="n">
        <v>10</v>
      </c>
      <c r="F178" s="411" t="n">
        <v>15</v>
      </c>
      <c r="G178" s="411" t="n">
        <v>0</v>
      </c>
      <c r="H178" s="412">
        <f>IF(OR(E178="",F178=""),"",E178*F178)</f>
        <v/>
      </c>
      <c r="I178" s="44" t="inlineStr">
        <is>
          <t>重量未重複提供，沿用上一組 10 kg。</t>
        </is>
      </c>
    </row>
    <row r="179">
      <c r="A179" s="403" t="n">
        <v>46276</v>
      </c>
      <c r="B179" s="34" t="inlineStr">
        <is>
          <t>重訓</t>
        </is>
      </c>
      <c r="C179" s="34" t="inlineStr">
        <is>
          <t>保加利亞分腿蹲</t>
        </is>
      </c>
      <c r="D179" s="410" t="n">
        <v>1</v>
      </c>
      <c r="E179" s="411" t="n">
        <v>10</v>
      </c>
      <c r="F179" s="411" t="n">
        <v>15</v>
      </c>
      <c r="G179" s="411" t="n">
        <v>2</v>
      </c>
      <c r="H179" s="412">
        <f>IF(OR(E179="",F179=""),"",E179*F179)</f>
        <v/>
      </c>
      <c r="I179" s="44" t="inlineStr">
        <is>
          <t>左腳；每手 5 kg，兩手總負重 10 kg。</t>
        </is>
      </c>
    </row>
    <row r="180">
      <c r="A180" s="403" t="n">
        <v>46276</v>
      </c>
      <c r="B180" s="34" t="inlineStr">
        <is>
          <t>重訓</t>
        </is>
      </c>
      <c r="C180" s="34" t="inlineStr">
        <is>
          <t>保加利亞分腿蹲</t>
        </is>
      </c>
      <c r="D180" s="410" t="n">
        <v>2</v>
      </c>
      <c r="E180" s="411" t="n">
        <v>10</v>
      </c>
      <c r="F180" s="411" t="n">
        <v>15</v>
      </c>
      <c r="G180" s="411" t="n">
        <v>2</v>
      </c>
      <c r="H180" s="412">
        <f>IF(OR(E180="",F180=""),"",E180*F180)</f>
        <v/>
      </c>
      <c r="I180" s="44" t="inlineStr">
        <is>
          <t>右腳；每手 5 kg，兩手總負重 10 kg。使用者更正：第一條回報代表左右腳都完成 15 下 DBR2。</t>
        </is>
      </c>
    </row>
    <row r="181">
      <c r="A181" s="403" t="n">
        <v>46276</v>
      </c>
      <c r="B181" s="34" t="inlineStr">
        <is>
          <t>重訓</t>
        </is>
      </c>
      <c r="C181" s="34" t="inlineStr">
        <is>
          <t>保加利亞分腿蹲</t>
        </is>
      </c>
      <c r="D181" s="410" t="n">
        <v>3</v>
      </c>
      <c r="E181" s="411" t="n">
        <v>10</v>
      </c>
      <c r="F181" s="411" t="n">
        <v>12</v>
      </c>
      <c r="G181" s="411" t="n">
        <v>2</v>
      </c>
      <c r="H181" s="412">
        <f>IF(OR(E181="",F181=""),"",E181*F181)</f>
        <v/>
      </c>
      <c r="I181" s="44" t="inlineStr">
        <is>
          <t>左腳；每手 5 kg，兩手總負重 10 kg。第二條回報代表左右腳都完成 12 下 DBR2。</t>
        </is>
      </c>
    </row>
    <row r="182">
      <c r="A182" s="403" t="n">
        <v>46276</v>
      </c>
      <c r="B182" s="34" t="inlineStr">
        <is>
          <t>重訓</t>
        </is>
      </c>
      <c r="C182" s="34" t="inlineStr">
        <is>
          <t>保加利亞分腿蹲</t>
        </is>
      </c>
      <c r="D182" s="410" t="n">
        <v>4</v>
      </c>
      <c r="E182" s="411" t="n">
        <v>10</v>
      </c>
      <c r="F182" s="411" t="n">
        <v>12</v>
      </c>
      <c r="G182" s="411" t="n">
        <v>2</v>
      </c>
      <c r="H182" s="412">
        <f>IF(OR(E182="",F182=""),"",E182*F182)</f>
        <v/>
      </c>
      <c r="I182" s="44" t="inlineStr">
        <is>
          <t>右腳；每手 5 kg，兩手總負重 10 kg。第二條回報代表左右腳都完成 12 下 DBR2。</t>
        </is>
      </c>
    </row>
    <row r="183">
      <c r="A183" s="403" t="n">
        <v>46276</v>
      </c>
      <c r="B183" s="34" t="inlineStr">
        <is>
          <t>重訓</t>
        </is>
      </c>
      <c r="C183" s="34" t="inlineStr">
        <is>
          <t>保加利亞分腿蹲</t>
        </is>
      </c>
      <c r="D183" s="410" t="n">
        <v>5</v>
      </c>
      <c r="E183" s="411" t="n">
        <v>10</v>
      </c>
      <c r="F183" s="411" t="n">
        <v>13</v>
      </c>
      <c r="G183" s="411" t="n">
        <v>2</v>
      </c>
      <c r="H183" s="412">
        <f>IF(OR(E183="",F183=""),"",E183*F183)</f>
        <v/>
      </c>
      <c r="I183" s="44" t="inlineStr">
        <is>
          <t>左腳；每手 5 kg，兩手總負重 10 kg。</t>
        </is>
      </c>
    </row>
    <row r="184">
      <c r="A184" s="403" t="n">
        <v>46276</v>
      </c>
      <c r="B184" s="34" t="inlineStr">
        <is>
          <t>重訓</t>
        </is>
      </c>
      <c r="C184" s="34" t="inlineStr">
        <is>
          <t>保加利亞分腿蹲</t>
        </is>
      </c>
      <c r="D184" s="410" t="n">
        <v>6</v>
      </c>
      <c r="E184" s="411" t="n">
        <v>10</v>
      </c>
      <c r="F184" s="411" t="n">
        <v>10</v>
      </c>
      <c r="G184" s="411" t="n">
        <v>2</v>
      </c>
      <c r="H184" s="412">
        <f>IF(OR(E184="",F184=""),"",E184*F184)</f>
        <v/>
      </c>
      <c r="I184" s="44" t="inlineStr">
        <is>
          <t>右腳；每手 5 kg，兩手總負重 10 kg。</t>
        </is>
      </c>
    </row>
    <row r="185">
      <c r="A185" s="403" t="n">
        <v>46276</v>
      </c>
      <c r="B185" s="34" t="inlineStr">
        <is>
          <t>重訓</t>
        </is>
      </c>
      <c r="C185" s="34" t="inlineStr">
        <is>
          <t>保加利亞分腿蹲</t>
        </is>
      </c>
      <c r="D185" s="410" t="n">
        <v>7</v>
      </c>
      <c r="E185" s="411" t="n">
        <v>10</v>
      </c>
      <c r="F185" s="411" t="n">
        <v>12</v>
      </c>
      <c r="G185" s="411" t="n">
        <v>1</v>
      </c>
      <c r="H185" s="412">
        <f>IF(OR(E185="",F185=""),"",E185*F185)</f>
        <v/>
      </c>
      <c r="I185" s="44" t="inlineStr">
        <is>
          <t>左腳；每手 5 kg，兩手總負重 10 kg。</t>
        </is>
      </c>
    </row>
    <row r="186">
      <c r="A186" s="403" t="n">
        <v>46276</v>
      </c>
      <c r="B186" s="34" t="inlineStr">
        <is>
          <t>重訓</t>
        </is>
      </c>
      <c r="C186" s="34" t="inlineStr">
        <is>
          <t>保加利亞分腿蹲</t>
        </is>
      </c>
      <c r="D186" s="410" t="n">
        <v>8</v>
      </c>
      <c r="E186" s="411" t="n">
        <v>10</v>
      </c>
      <c r="F186" s="411" t="n">
        <v>10</v>
      </c>
      <c r="G186" s="411" t="n">
        <v>1</v>
      </c>
      <c r="H186" s="412">
        <f>IF(OR(E186="",F186=""),"",E186*F186)</f>
        <v/>
      </c>
      <c r="I186" s="44" t="inlineStr">
        <is>
          <t>右腳；每手 5 kg，兩手總負重 10 kg。</t>
        </is>
      </c>
    </row>
    <row r="187">
      <c r="A187" s="403" t="n">
        <v>46276</v>
      </c>
      <c r="B187" s="34" t="inlineStr">
        <is>
          <t>重訓</t>
        </is>
      </c>
      <c r="C187" s="34" t="inlineStr">
        <is>
          <t>上斜胸推</t>
        </is>
      </c>
      <c r="D187" s="410" t="n">
        <v>1</v>
      </c>
      <c r="E187" s="411" t="n">
        <v>25</v>
      </c>
      <c r="F187" s="411" t="n">
        <v>15</v>
      </c>
      <c r="G187" s="411" t="n">
        <v>1</v>
      </c>
      <c r="H187" s="412">
        <f>IF(OR(E187="",F187=""),"",E187*F187)</f>
        <v/>
      </c>
      <c r="I187" s="44" t="inlineStr">
        <is>
          <t>30°啞鈴上斜胸推；使用者回報每手 12.5 kg，兩支啞鈴合計 25 kg。</t>
        </is>
      </c>
    </row>
    <row r="188">
      <c r="A188" s="403" t="n">
        <v>46276</v>
      </c>
      <c r="B188" s="34" t="inlineStr">
        <is>
          <t>重訓</t>
        </is>
      </c>
      <c r="C188" s="34" t="inlineStr">
        <is>
          <t>上斜胸推</t>
        </is>
      </c>
      <c r="D188" s="410" t="n">
        <v>2</v>
      </c>
      <c r="E188" s="411" t="n">
        <v>25</v>
      </c>
      <c r="F188" s="411" t="n">
        <v>13</v>
      </c>
      <c r="G188" s="411" t="n">
        <v>1</v>
      </c>
      <c r="H188" s="412">
        <f>IF(OR(E188="",F188=""),"",E188*F188)</f>
        <v/>
      </c>
      <c r="I188" s="44" t="inlineStr">
        <is>
          <t>30°啞鈴上斜胸推；重量未重複提供，沿用上一組每手 12.5 kg，兩支啞鈴合計 25 kg。</t>
        </is>
      </c>
    </row>
    <row r="189">
      <c r="A189" s="403" t="n">
        <v>46276</v>
      </c>
      <c r="B189" s="34" t="inlineStr">
        <is>
          <t>重訓</t>
        </is>
      </c>
      <c r="C189" s="34" t="inlineStr">
        <is>
          <t>上斜胸推</t>
        </is>
      </c>
      <c r="D189" s="410" t="n">
        <v>3</v>
      </c>
      <c r="E189" s="411" t="n">
        <v>25</v>
      </c>
      <c r="F189" s="411" t="n">
        <v>9</v>
      </c>
      <c r="G189" s="411" t="n">
        <v>0</v>
      </c>
      <c r="H189" s="412">
        <f>IF(OR(E189="",F189=""),"",E189*F189)</f>
        <v/>
      </c>
      <c r="I189" s="44" t="inlineStr">
        <is>
          <t>30°啞鈴上斜胸推；重量未重複提供，沿用上一組每手 12.5 kg，兩支啞鈴合計 25 kg；本組前臂已有不適。</t>
        </is>
      </c>
    </row>
    <row r="190">
      <c r="A190" s="403" t="n">
        <v>46276</v>
      </c>
      <c r="B190" s="34" t="inlineStr">
        <is>
          <t>重訓</t>
        </is>
      </c>
      <c r="C190" s="34" t="inlineStr">
        <is>
          <t>上斜胸推</t>
        </is>
      </c>
      <c r="D190" s="410" t="n">
        <v>4</v>
      </c>
      <c r="E190" s="411" t="n">
        <v>20</v>
      </c>
      <c r="F190" s="411" t="n">
        <v>12</v>
      </c>
      <c r="G190" s="411" t="n">
        <v>1</v>
      </c>
      <c r="H190" s="412">
        <f>IF(OR(E190="",F190=""),"",E190*F190)</f>
        <v/>
      </c>
      <c r="I190" s="44" t="inlineStr">
        <is>
          <t>30°啞鈴上斜胸推；使用者回報每手 10 kg，兩支啞鈴合計 20 kg。</t>
        </is>
      </c>
    </row>
    <row r="191">
      <c r="A191" s="403" t="n">
        <v>46276</v>
      </c>
      <c r="B191" s="34" t="inlineStr">
        <is>
          <t>重訓</t>
        </is>
      </c>
      <c r="C191" s="34" t="inlineStr">
        <is>
          <t>反向飛鳥</t>
        </is>
      </c>
      <c r="D191" s="410" t="n">
        <v>1</v>
      </c>
      <c r="E191" s="411" t="n">
        <v>15</v>
      </c>
      <c r="F191" s="411" t="n">
        <v>15</v>
      </c>
      <c r="G191" s="411" t="n">
        <v>3</v>
      </c>
      <c r="H191" s="412">
        <f>IF(OR(E191="",F191=""),"",E191*F191)</f>
        <v/>
      </c>
      <c r="I191" s="44" t="inlineStr">
        <is>
          <t>使用者回報 15 kg × 15，DBR3。</t>
        </is>
      </c>
    </row>
    <row r="192">
      <c r="A192" s="403" t="n">
        <v>46276</v>
      </c>
      <c r="B192" s="34" t="inlineStr">
        <is>
          <t>重訓</t>
        </is>
      </c>
      <c r="C192" s="34" t="inlineStr">
        <is>
          <t>反向飛鳥</t>
        </is>
      </c>
      <c r="D192" s="410" t="n">
        <v>2</v>
      </c>
      <c r="E192" s="411" t="n">
        <v>15</v>
      </c>
      <c r="F192" s="411" t="n">
        <v>15</v>
      </c>
      <c r="G192" s="411" t="n">
        <v>1</v>
      </c>
      <c r="H192" s="412">
        <f>IF(OR(E192="",F192=""),"",E192*F192)</f>
        <v/>
      </c>
      <c r="I192" s="44" t="inlineStr">
        <is>
          <t>重量未重複提供，沿用上一組 15 kg。</t>
        </is>
      </c>
    </row>
    <row r="193">
      <c r="A193" s="403" t="n">
        <v>46276</v>
      </c>
      <c r="B193" s="34" t="inlineStr">
        <is>
          <t>重訓</t>
        </is>
      </c>
      <c r="C193" s="34" t="inlineStr">
        <is>
          <t>反向飛鳥</t>
        </is>
      </c>
      <c r="D193" s="410" t="n">
        <v>3</v>
      </c>
      <c r="E193" s="411" t="n">
        <v>15</v>
      </c>
      <c r="F193" s="411" t="n">
        <v>13</v>
      </c>
      <c r="G193" s="411" t="n">
        <v>1</v>
      </c>
      <c r="H193" s="412">
        <f>IF(OR(E193="",F193=""),"",E193*F193)</f>
        <v/>
      </c>
      <c r="I193" s="44" t="inlineStr">
        <is>
          <t>重量未重複提供，沿用上一組 15 kg。</t>
        </is>
      </c>
    </row>
    <row r="194">
      <c r="A194" s="403" t="n">
        <v>46276</v>
      </c>
      <c r="B194" s="34" t="inlineStr">
        <is>
          <t>重訓</t>
        </is>
      </c>
      <c r="C194" s="34" t="inlineStr">
        <is>
          <t>反向飛鳥</t>
        </is>
      </c>
      <c r="D194" s="410" t="n">
        <v>4</v>
      </c>
      <c r="E194" s="411" t="n">
        <v>15</v>
      </c>
      <c r="F194" s="411" t="n">
        <v>13</v>
      </c>
      <c r="G194" s="411" t="n">
        <v>1</v>
      </c>
      <c r="H194" s="412">
        <f>IF(OR(E194="",F194=""),"",E194*F194)</f>
        <v/>
      </c>
      <c r="I194" s="44" t="inlineStr">
        <is>
          <t>重量未重複提供，沿用上一組 15 kg。</t>
        </is>
      </c>
    </row>
    <row r="195">
      <c r="A195" s="403" t="n">
        <v>46276</v>
      </c>
      <c r="B195" s="34" t="inlineStr">
        <is>
          <t>重訓</t>
        </is>
      </c>
      <c r="C195" s="34" t="inlineStr">
        <is>
          <t>反向飛鳥</t>
        </is>
      </c>
      <c r="D195" s="410" t="n">
        <v>5</v>
      </c>
      <c r="E195" s="411" t="n">
        <v>15</v>
      </c>
      <c r="F195" s="411" t="n">
        <v>11</v>
      </c>
      <c r="G195" s="411" t="n">
        <v>1</v>
      </c>
      <c r="H195" s="412">
        <f>IF(OR(E195="",F195=""),"",E195*F195)</f>
        <v/>
      </c>
      <c r="I195" s="44" t="inlineStr">
        <is>
          <t>重量未重複提供，沿用上一組 15 kg。</t>
        </is>
      </c>
    </row>
    <row r="196">
      <c r="A196" s="403" t="n">
        <v>46276</v>
      </c>
      <c r="B196" s="34" t="inlineStr">
        <is>
          <t>重訓</t>
        </is>
      </c>
      <c r="C196" s="34" t="inlineStr">
        <is>
          <t>滑輪下拉</t>
        </is>
      </c>
      <c r="D196" s="410" t="n">
        <v>1</v>
      </c>
      <c r="E196" s="411" t="n">
        <v>37.5</v>
      </c>
      <c r="F196" s="411" t="n">
        <v>13</v>
      </c>
      <c r="G196" s="411" t="n">
        <v>2</v>
      </c>
      <c r="H196" s="412">
        <f>IF(OR(E196="",F196=""),"",E196*F196)</f>
        <v/>
      </c>
      <c r="I196" s="44" t="inlineStr">
        <is>
          <t>重量未重複提供，沿用本次安排 37.5 kg。</t>
        </is>
      </c>
    </row>
    <row r="197">
      <c r="A197" s="403" t="n">
        <v>46276</v>
      </c>
      <c r="B197" s="34" t="inlineStr">
        <is>
          <t>重訓</t>
        </is>
      </c>
      <c r="C197" s="34" t="inlineStr">
        <is>
          <t>滑輪下拉</t>
        </is>
      </c>
      <c r="D197" s="410" t="n">
        <v>2</v>
      </c>
      <c r="E197" s="411" t="n">
        <v>37.5</v>
      </c>
      <c r="F197" s="411" t="n">
        <v>13</v>
      </c>
      <c r="G197" s="411" t="n">
        <v>2</v>
      </c>
      <c r="H197" s="412">
        <f>IF(OR(E197="",F197=""),"",E197*F197)</f>
        <v/>
      </c>
      <c r="I197" s="44" t="inlineStr">
        <is>
          <t>重量未重複提供，沿用上一組 37.5 kg。</t>
        </is>
      </c>
    </row>
    <row r="198">
      <c r="A198" s="403" t="n">
        <v>46276</v>
      </c>
      <c r="B198" s="34" t="inlineStr">
        <is>
          <t>重訓</t>
        </is>
      </c>
      <c r="C198" s="34" t="inlineStr">
        <is>
          <t>滑輪下拉</t>
        </is>
      </c>
      <c r="D198" s="410" t="n">
        <v>3</v>
      </c>
      <c r="E198" s="411" t="n">
        <v>37.5</v>
      </c>
      <c r="F198" s="411" t="n">
        <v>11</v>
      </c>
      <c r="G198" s="411" t="n">
        <v>1</v>
      </c>
      <c r="H198" s="412">
        <f>IF(OR(E198="",F198=""),"",E198*F198)</f>
        <v/>
      </c>
      <c r="I198" s="44" t="inlineStr">
        <is>
          <t>重量未重複提供，沿用上一組 37.5 kg。</t>
        </is>
      </c>
    </row>
    <row r="199">
      <c r="A199" s="403" t="n">
        <v>46276</v>
      </c>
      <c r="B199" s="34" t="inlineStr">
        <is>
          <t>重訓</t>
        </is>
      </c>
      <c r="C199" s="34" t="inlineStr">
        <is>
          <t>滑輪下拉</t>
        </is>
      </c>
      <c r="D199" s="410" t="n">
        <v>4</v>
      </c>
      <c r="E199" s="411" t="n">
        <v>37.5</v>
      </c>
      <c r="F199" s="411" t="n">
        <v>8</v>
      </c>
      <c r="G199" s="411" t="n">
        <v>0</v>
      </c>
      <c r="H199" s="412">
        <f>IF(OR(E199="",F199=""),"",E199*F199)</f>
        <v/>
      </c>
      <c r="I199" s="44" t="inlineStr">
        <is>
          <t>重量未重複提供，沿用上一組 37.5 kg。</t>
        </is>
      </c>
    </row>
    <row r="200">
      <c r="A200" s="403" t="n">
        <v>46276</v>
      </c>
      <c r="B200" s="34" t="inlineStr">
        <is>
          <t>重訓</t>
        </is>
      </c>
      <c r="C200" s="34" t="inlineStr">
        <is>
          <t>腿內收</t>
        </is>
      </c>
      <c r="D200" s="410" t="n">
        <v>1</v>
      </c>
      <c r="E200" s="411" t="n">
        <v>37.5</v>
      </c>
      <c r="F200" s="411" t="n">
        <v>13</v>
      </c>
      <c r="G200" s="411" t="n">
        <v>2</v>
      </c>
      <c r="H200" s="412">
        <f>IF(OR(E200="",F200=""),"",E200*F200)</f>
        <v/>
      </c>
      <c r="I200" s="44" t="inlineStr">
        <is>
          <t>重量未重複提供，沿用本次安排 37.5 kg。</t>
        </is>
      </c>
    </row>
    <row r="201">
      <c r="A201" s="403" t="n">
        <v>46276</v>
      </c>
      <c r="B201" s="34" t="inlineStr">
        <is>
          <t>重訓</t>
        </is>
      </c>
      <c r="C201" s="34" t="inlineStr">
        <is>
          <t>腿內收</t>
        </is>
      </c>
      <c r="D201" s="410" t="n">
        <v>2</v>
      </c>
      <c r="E201" s="411" t="n">
        <v>37.5</v>
      </c>
      <c r="F201" s="411" t="n">
        <v>13</v>
      </c>
      <c r="G201" s="411" t="n">
        <v>1</v>
      </c>
      <c r="H201" s="412">
        <f>IF(OR(E201="",F201=""),"",E201*F201)</f>
        <v/>
      </c>
      <c r="I201" s="44" t="inlineStr">
        <is>
          <t>重量未重複提供，沿用上一組 37.5 kg。</t>
        </is>
      </c>
    </row>
    <row r="202">
      <c r="A202" s="403" t="n">
        <v>46276</v>
      </c>
      <c r="B202" s="34" t="inlineStr">
        <is>
          <t>重訓</t>
        </is>
      </c>
      <c r="C202" s="34" t="inlineStr">
        <is>
          <t>腿內收</t>
        </is>
      </c>
      <c r="D202" s="410" t="n">
        <v>3</v>
      </c>
      <c r="E202" s="411" t="n">
        <v>37.5</v>
      </c>
      <c r="F202" s="411" t="n">
        <v>13</v>
      </c>
      <c r="G202" s="411" t="n">
        <v>1</v>
      </c>
      <c r="H202" s="412">
        <f>IF(OR(E202="",F202=""),"",E202*F202)</f>
        <v/>
      </c>
      <c r="I202" s="44" t="inlineStr">
        <is>
          <t>重量未重複提供，沿用上一組 37.5 kg。</t>
        </is>
      </c>
    </row>
    <row r="203">
      <c r="A203" s="403" t="n">
        <v>46276</v>
      </c>
      <c r="B203" s="34" t="inlineStr">
        <is>
          <t>重訓</t>
        </is>
      </c>
      <c r="C203" s="34" t="inlineStr">
        <is>
          <t>腿內收</t>
        </is>
      </c>
      <c r="D203" s="410" t="n">
        <v>4</v>
      </c>
      <c r="E203" s="411" t="n">
        <v>37.5</v>
      </c>
      <c r="F203" s="411" t="n">
        <v>13</v>
      </c>
      <c r="G203" s="411" t="n">
        <v>0</v>
      </c>
      <c r="H203" s="412">
        <f>IF(OR(E203="",F203=""),"",E203*F203)</f>
        <v/>
      </c>
      <c r="I203" s="44" t="inlineStr">
        <is>
          <t>重量未重複提供，沿用上一組 37.5 kg。</t>
        </is>
      </c>
    </row>
    <row r="204">
      <c r="A204" s="403" t="n">
        <v>46279</v>
      </c>
      <c r="B204" s="34" t="inlineStr">
        <is>
          <t>重訓</t>
        </is>
      </c>
      <c r="C204" s="34" t="inlineStr">
        <is>
          <t>DRAX 槓片式腿推機</t>
        </is>
      </c>
      <c r="D204" s="410" t="n">
        <v>1</v>
      </c>
      <c r="E204" s="411" t="n">
        <v>40</v>
      </c>
      <c r="F204" s="411" t="n">
        <v>15</v>
      </c>
      <c r="G204" s="411" t="n">
        <v>4</v>
      </c>
      <c r="H204" s="412">
        <f>IF(OR(E204="",F204=""),"",E204*F204)</f>
        <v/>
      </c>
      <c r="I204" s="44" t="inlineStr">
        <is>
          <t>使用者回報 40 kg × 15，DBR4；照片確認為 DRAX 槓片式腿推機。重量按使用者回報記錄，不另加機台／滑軌自重；此動作與既有『腿推舉』分開建立基準。</t>
        </is>
      </c>
    </row>
    <row r="205">
      <c r="A205" s="403" t="n">
        <v>46279</v>
      </c>
      <c r="B205" s="34" t="inlineStr">
        <is>
          <t>重訓</t>
        </is>
      </c>
      <c r="C205" s="34" t="inlineStr">
        <is>
          <t>DRAX 槓片式腿推機</t>
        </is>
      </c>
      <c r="D205" s="410" t="n">
        <v>2</v>
      </c>
      <c r="E205" s="411" t="n">
        <v>40</v>
      </c>
      <c r="F205" s="411" t="n">
        <v>15</v>
      </c>
      <c r="G205" s="411" t="n">
        <v>3</v>
      </c>
      <c r="H205" s="412">
        <f>IF(OR(E205="",F205=""),"",E205*F205)</f>
        <v/>
      </c>
      <c r="I205" s="44" t="inlineStr">
        <is>
          <t>重量未重複提供，沿用上一組 40 kg。</t>
        </is>
      </c>
    </row>
    <row r="206">
      <c r="A206" s="403" t="n">
        <v>46279</v>
      </c>
      <c r="B206" s="34" t="inlineStr">
        <is>
          <t>重訓</t>
        </is>
      </c>
      <c r="C206" s="34" t="inlineStr">
        <is>
          <t>DRAX 槓片式腿推機</t>
        </is>
      </c>
      <c r="D206" s="410" t="n">
        <v>3</v>
      </c>
      <c r="E206" s="411" t="n">
        <v>40</v>
      </c>
      <c r="F206" s="411" t="n">
        <v>15</v>
      </c>
      <c r="G206" s="411" t="n">
        <v>1</v>
      </c>
      <c r="H206" s="412">
        <f>IF(OR(E206="",F206=""),"",E206*F206)</f>
        <v/>
      </c>
      <c r="I206" s="44" t="inlineStr">
        <is>
          <t>重量未重複提供，沿用上一組 40 kg。照片中腳位為踏板中上區、約肩寬。</t>
        </is>
      </c>
    </row>
    <row r="207">
      <c r="A207" s="403" t="n">
        <v>46279</v>
      </c>
      <c r="B207" s="34" t="inlineStr">
        <is>
          <t>重訓</t>
        </is>
      </c>
      <c r="C207" s="34" t="inlineStr">
        <is>
          <t>DRAX 槓片式腿推機</t>
        </is>
      </c>
      <c r="D207" s="410" t="n">
        <v>4</v>
      </c>
      <c r="E207" s="411" t="n">
        <v>40</v>
      </c>
      <c r="F207" s="411" t="n">
        <v>12</v>
      </c>
      <c r="G207" s="411" t="n">
        <v>2</v>
      </c>
      <c r="H207" s="412">
        <f>IF(OR(E207="",F207=""),"",E207*F207)</f>
        <v/>
      </c>
      <c r="I207" s="44" t="inlineStr">
        <is>
          <t>重量未重複提供，沿用上一組 40 kg。</t>
        </is>
      </c>
    </row>
    <row r="208">
      <c r="A208" s="403" t="n">
        <v>46279</v>
      </c>
      <c r="B208" s="34" t="inlineStr">
        <is>
          <t>重訓</t>
        </is>
      </c>
      <c r="C208" s="34" t="inlineStr">
        <is>
          <t>腿後勾</t>
        </is>
      </c>
      <c r="D208" s="410" t="n">
        <v>1</v>
      </c>
      <c r="E208" s="411" t="n">
        <v>47</v>
      </c>
      <c r="F208" s="411" t="n">
        <v>15</v>
      </c>
      <c r="G208" s="411" t="n">
        <v>2</v>
      </c>
      <c r="H208" s="412">
        <f>IF(OR(E208="",F208=""),"",E208*F208)</f>
        <v/>
      </c>
      <c r="I208" s="44" t="inlineStr">
        <is>
          <t>使用者回報 47 kg × 15，DBR2；照片為坐姿腿後勾機。</t>
        </is>
      </c>
    </row>
    <row r="209">
      <c r="A209" s="403" t="n">
        <v>46279</v>
      </c>
      <c r="B209" s="34" t="inlineStr">
        <is>
          <t>重訓</t>
        </is>
      </c>
      <c r="C209" s="34" t="inlineStr">
        <is>
          <t>腿後勾</t>
        </is>
      </c>
      <c r="D209" s="410" t="n">
        <v>2</v>
      </c>
      <c r="E209" s="411" t="n">
        <v>47</v>
      </c>
      <c r="F209" s="411" t="n">
        <v>12</v>
      </c>
      <c r="G209" s="411" t="n">
        <v>2</v>
      </c>
      <c r="H209" s="412">
        <f>IF(OR(E209="",F209=""),"",E209*F209)</f>
        <v/>
      </c>
      <c r="I209" s="44" t="inlineStr">
        <is>
          <t>重量未重複提供，沿用上一組 47 kg。</t>
        </is>
      </c>
    </row>
    <row r="210">
      <c r="A210" s="403" t="n">
        <v>46279</v>
      </c>
      <c r="B210" s="34" t="inlineStr">
        <is>
          <t>重訓</t>
        </is>
      </c>
      <c r="C210" s="34" t="inlineStr">
        <is>
          <t>腿後勾</t>
        </is>
      </c>
      <c r="D210" s="410" t="n">
        <v>3</v>
      </c>
      <c r="E210" s="411" t="n">
        <v>47</v>
      </c>
      <c r="F210" s="411" t="n">
        <v>12</v>
      </c>
      <c r="G210" s="411" t="n">
        <v>1</v>
      </c>
      <c r="H210" s="412">
        <f>IF(OR(E210="",F210=""),"",E210*F210)</f>
        <v/>
      </c>
      <c r="I210" s="44" t="inlineStr">
        <is>
          <t>重量未重複提供，沿用上一組 47 kg。</t>
        </is>
      </c>
    </row>
    <row r="211">
      <c r="A211" s="403" t="n">
        <v>46279</v>
      </c>
      <c r="B211" s="34" t="inlineStr">
        <is>
          <t>重訓</t>
        </is>
      </c>
      <c r="C211" s="34" t="inlineStr">
        <is>
          <t>腿後勾</t>
        </is>
      </c>
      <c r="D211" s="410" t="n">
        <v>4</v>
      </c>
      <c r="E211" s="411" t="n">
        <v>47</v>
      </c>
      <c r="F211" s="411" t="n">
        <v>12</v>
      </c>
      <c r="G211" s="411" t="n">
        <v>0</v>
      </c>
      <c r="H211" s="412">
        <f>IF(OR(E211="",F211=""),"",E211*F211)</f>
        <v/>
      </c>
      <c r="I211" s="44" t="inlineStr">
        <is>
          <t>重量未重複提供，沿用上一組 47 kg。</t>
        </is>
      </c>
    </row>
    <row r="212">
      <c r="A212" s="403" t="n">
        <v>46279</v>
      </c>
      <c r="B212" s="34" t="inlineStr">
        <is>
          <t>重訓</t>
        </is>
      </c>
      <c r="C212" s="34" t="inlineStr">
        <is>
          <t>Gymleco Active Line 321 Chest Press</t>
        </is>
      </c>
      <c r="D212" s="410" t="n">
        <v>1</v>
      </c>
      <c r="E212" s="411" t="n">
        <v>25</v>
      </c>
      <c r="F212" s="411" t="n">
        <v>15</v>
      </c>
      <c r="G212" s="411" t="n">
        <v>1</v>
      </c>
      <c r="H212" s="412">
        <f>IF(OR(E212="",F212=""),"",E212*F212)</f>
        <v/>
      </c>
      <c r="I212" s="44" t="inlineStr">
        <is>
          <t>使用者確認插銷位於 25 kg；照片確認機型為 Gymleco Active Line 321 Chest Press。</t>
        </is>
      </c>
    </row>
    <row r="213">
      <c r="A213" s="403" t="n">
        <v>46279</v>
      </c>
      <c r="B213" s="34" t="inlineStr">
        <is>
          <t>重訓</t>
        </is>
      </c>
      <c r="C213" s="34" t="inlineStr">
        <is>
          <t>Gymleco Active Line 321 Chest Press</t>
        </is>
      </c>
      <c r="D213" s="410" t="n">
        <v>2</v>
      </c>
      <c r="E213" s="411" t="n">
        <v>25</v>
      </c>
      <c r="F213" s="411" t="n">
        <v>15</v>
      </c>
      <c r="G213" s="411" t="n">
        <v>1</v>
      </c>
      <c r="H213" s="412">
        <f>IF(OR(E213="",F213=""),"",E213*F213)</f>
        <v/>
      </c>
      <c r="I213" s="44" t="inlineStr">
        <is>
          <t>重量未重複提供，沿用上一組 25 kg。</t>
        </is>
      </c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8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  <row r="209">
      <c r="A209" s="441" t="n">
        <v>46270</v>
      </c>
      <c r="B209" s="42" t="inlineStr">
        <is>
          <t>早餐</t>
        </is>
      </c>
      <c r="C209" s="36" t="inlineStr">
        <is>
          <t>使用者回報</t>
        </is>
      </c>
      <c r="D209" s="45" t="inlineStr">
        <is>
          <t>早餐蛋白質 52g</t>
        </is>
      </c>
      <c r="E209" s="45" t="n">
        <v>52</v>
      </c>
      <c r="F209" s="45" t="inlineStr"/>
      <c r="G209" s="45" t="inlineStr">
        <is>
          <t>使用者回報早上攝取蛋白質 52g；未提供食物來源、品牌、熱量或碳水，因此僅記錄蛋白質 52g，其餘不猜。</t>
        </is>
      </c>
      <c r="H209" s="45" t="inlineStr"/>
    </row>
    <row r="210">
      <c r="A210" s="441" t="n">
        <v>46270</v>
      </c>
      <c r="B210" s="42" t="inlineStr">
        <is>
          <t>晚餐</t>
        </is>
      </c>
      <c r="C210" s="36" t="inlineStr">
        <is>
          <t>使用者回報＋既有雞蛋估算</t>
        </is>
      </c>
      <c r="D210" s="45" t="inlineStr">
        <is>
          <t>茶葉蛋 2 顆</t>
        </is>
      </c>
      <c r="E210" s="45" t="n">
        <v>10.8</v>
      </c>
      <c r="F210" s="45" t="n">
        <v>106</v>
      </c>
      <c r="G210" s="45" t="inlineStr">
        <is>
          <t>沿用追蹤表既有7-ELEVEN雞蛋估算：每顆約蛋白質5.4g、碳水1.4g、53 kcal。</t>
        </is>
      </c>
      <c r="H210" s="45" t="n">
        <v>2.8</v>
      </c>
    </row>
    <row r="211">
      <c r="A211" s="441" t="n">
        <v>46270</v>
      </c>
      <c r="B211" s="42" t="inlineStr">
        <is>
          <t>晚餐</t>
        </is>
      </c>
      <c r="C211" s="36" t="inlineStr">
        <is>
          <t>使用者回報＋一般中型香蕉估算</t>
        </is>
      </c>
      <c r="D211" s="45" t="inlineStr">
        <is>
          <t>香蕉 1 根</t>
        </is>
      </c>
      <c r="E211" s="45" t="n">
        <v>1.3</v>
      </c>
      <c r="F211" s="45" t="n">
        <v>105</v>
      </c>
      <c r="G211" s="45" t="inlineStr">
        <is>
          <t>未提供重量，沿用一般中型香蕉透明估算：約蛋白質1.3g、碳水27g、105 kcal。</t>
        </is>
      </c>
      <c r="H211" s="45" t="n">
        <v>27</v>
      </c>
    </row>
    <row r="212">
      <c r="A212" s="441" t="n">
        <v>46270</v>
      </c>
      <c r="B212" s="42" t="inlineStr">
        <is>
          <t>晚餐</t>
        </is>
      </c>
      <c r="C212" s="36" t="inlineStr">
        <is>
          <t>使用者回報</t>
        </is>
      </c>
      <c r="D212" s="45" t="inlineStr">
        <is>
          <t>乳清 2 包（每包蛋白質 26g）</t>
        </is>
      </c>
      <c r="E212" s="45" t="n">
        <v>52</v>
      </c>
      <c r="F212" s="45" t="inlineStr"/>
      <c r="G212" s="45" t="inlineStr">
        <is>
          <t>兩包乳清，每包提供蛋白質26g，合計蛋白質52g；未提供熱量與碳水標示，因此其餘不猜。</t>
        </is>
      </c>
      <c r="H212" s="45" t="inlineStr"/>
    </row>
    <row r="213">
      <c r="A213" s="441" t="n">
        <v>46270</v>
      </c>
      <c r="B213" s="42" t="inlineStr">
        <is>
          <t>晚餐</t>
        </is>
      </c>
      <c r="C213" s="36" t="inlineStr">
        <is>
          <t>使用者回報＋使用者提供品名</t>
        </is>
      </c>
      <c r="D213" s="45" t="inlineStr">
        <is>
          <t>7-ELEVEN 塔香香鬆素飯糰 1 個</t>
        </is>
      </c>
      <c r="E213" s="45" t="inlineStr"/>
      <c r="F213" s="45" t="inlineStr"/>
      <c r="G213" s="45" t="inlineStr">
        <is>
          <t>使用者確認正式品名為7-ELEVEN塔香香鬆素飯糰；目前沒有可靠完整營養標示，因此蛋白質、碳水與熱量暫留空白。</t>
        </is>
      </c>
      <c r="H213" s="45" t="inlineStr"/>
    </row>
    <row r="214">
      <c r="A214" s="441" t="n">
        <v>46271</v>
      </c>
      <c r="B214" s="42" t="inlineStr">
        <is>
          <t>早餐</t>
        </is>
      </c>
      <c r="C214" s="36" t="inlineStr">
        <is>
          <t>使用者回報＋份量估算</t>
        </is>
      </c>
      <c r="D214" s="45" t="inlineStr">
        <is>
          <t>繼光香香雞 1 份</t>
        </is>
      </c>
      <c r="E214" s="45" t="n">
        <v>47</v>
      </c>
      <c r="F214" s="45" t="n">
        <v>520</v>
      </c>
      <c r="G214" s="45" t="inlineStr">
        <is>
          <t>使用者回報早餐吃 1 份繼光香香雞；以一般單份份量透明估算約蛋白質 47g、520 kcal。</t>
        </is>
      </c>
      <c r="H214" s="45" t="inlineStr"/>
    </row>
    <row r="215">
      <c r="A215" s="441" t="n">
        <v>46271</v>
      </c>
      <c r="B215" s="42" t="inlineStr">
        <is>
          <t>晚餐</t>
        </is>
      </c>
      <c r="C215" s="36" t="inlineStr">
        <is>
          <t>使用者回報＋照片估算</t>
        </is>
      </c>
      <c r="D215" s="45" t="inlineStr">
        <is>
          <t>築間火鍋：大份板腱牛 1 份＋高麗菜 3 份</t>
        </is>
      </c>
      <c r="E215" s="45" t="n">
        <v>56</v>
      </c>
      <c r="F215" s="45" t="n">
        <v>575</v>
      </c>
      <c r="G215" s="45" t="inlineStr">
        <is>
          <t>使用者回報晚餐為大份板腱牛與高麗菜 3 份；依照片估算板腱牛約 52g 蛋白質、500 kcal，高麗菜 3 份約 4g 蛋白質、75 kcal。未計入照片中未明確回報食用的其他肉盤、醬料與湯底。</t>
        </is>
      </c>
      <c r="H215" s="45" t="inlineStr"/>
    </row>
    <row r="216">
      <c r="A216" s="441" t="n">
        <v>46271</v>
      </c>
      <c r="B216" s="42" t="inlineStr">
        <is>
          <t>晚餐</t>
        </is>
      </c>
      <c r="C216" s="36" t="inlineStr">
        <is>
          <t>使用者回報</t>
        </is>
      </c>
      <c r="D216" s="45" t="inlineStr">
        <is>
          <t>晚間額外蛋白質 56g</t>
        </is>
      </c>
      <c r="E216" s="45" t="n">
        <v>56</v>
      </c>
      <c r="F216" s="45" t="inlineStr"/>
      <c r="G216" s="45" t="inlineStr">
        <is>
          <t>使用者回報晚間另外喝了蛋白質 56g；未提供品牌、來源、熱量或碳水，因此僅記錄蛋白質 56g，其餘不猜。</t>
        </is>
      </c>
      <c r="H216" s="45" t="inlineStr"/>
    </row>
    <row r="217">
      <c r="A217" s="441" t="n">
        <v>46272</v>
      </c>
      <c r="B217" s="42" t="inlineStr">
        <is>
          <t>早餐</t>
        </is>
      </c>
      <c r="C217" s="36" t="inlineStr">
        <is>
          <t>使用者回報＋7-ELEVEN公開資料與第三方價位重量估算</t>
        </is>
      </c>
      <c r="D217" s="45" t="inlineStr">
        <is>
          <t>7-ELEVEN 30元地瓜</t>
        </is>
      </c>
      <c r="E217" s="45" t="n">
        <v>2.3</v>
      </c>
      <c r="F217" s="45" t="n">
        <v>162</v>
      </c>
      <c r="G217" s="45" t="inlineStr">
        <is>
          <t>7-ELEVEN官方標示現蒸地瓜25–40元依重量計價，未公開各價位固定重量；第三方2026消費者整理估30元約120–170g，本次取中間值145g。參考7-ELEVEN台農57號地瓜商品120g營養標示，換算145g約162 kcal、蛋白質2.3g、碳水37.7g。</t>
        </is>
      </c>
      <c r="H217" s="45" t="n">
        <v>37.7</v>
      </c>
    </row>
    <row r="218">
      <c r="A218" s="441" t="n">
        <v>46272</v>
      </c>
      <c r="B218" s="42" t="inlineStr">
        <is>
          <t>早餐</t>
        </is>
      </c>
      <c r="C218" s="36" t="inlineStr">
        <is>
          <t>使用者回報＋既有同款紀錄</t>
        </is>
      </c>
      <c r="D218" s="45" t="inlineStr">
        <is>
          <t>7-ELEVEN 21Plus 剝皮辣椒雞胸肉 1 包（145g）</t>
        </is>
      </c>
      <c r="E218" s="45" t="n">
        <v>30</v>
      </c>
      <c r="F218" s="45" t="n">
        <v>163</v>
      </c>
      <c r="G218" s="45" t="inlineStr">
        <is>
          <t>沿用追蹤表先前同款紀錄：約蛋白質30g、163 kcal；未取得可靠碳水標示，因此碳水留白。</t>
        </is>
      </c>
      <c r="H218" s="45" t="inlineStr"/>
    </row>
    <row r="219">
      <c r="A219" s="441" t="n">
        <v>46272</v>
      </c>
      <c r="B219" s="42" t="inlineStr">
        <is>
          <t>晚餐</t>
        </is>
      </c>
      <c r="C219" s="36" t="inlineStr">
        <is>
          <t>使用者回報＋一般便當份量透明估算</t>
        </is>
      </c>
      <c r="D219" s="45" t="inlineStr">
        <is>
          <t>腿庫肉 1 份</t>
        </is>
      </c>
      <c r="E219" s="45" t="n">
        <v>28</v>
      </c>
      <c r="F219" s="45" t="n">
        <v>400</v>
      </c>
      <c r="G219" s="45" t="inlineStr">
        <is>
          <t>使用者回報腿庫便當；未提供重量，先以一般便當腿庫肉份量估算約蛋白質28g、400 kcal，實際依肥瘦與帶皮比例可能有明顯差異。</t>
        </is>
      </c>
      <c r="H219" s="45" t="inlineStr"/>
    </row>
    <row r="220">
      <c r="A220" s="441" t="n">
        <v>46272</v>
      </c>
      <c r="B220" s="42" t="inlineStr">
        <is>
          <t>晚餐</t>
        </is>
      </c>
      <c r="C220" s="36" t="inlineStr">
        <is>
          <t>使用者回報＋一般便當份量透明估算</t>
        </is>
      </c>
      <c r="D220" s="45" t="inlineStr">
        <is>
          <t>白飯 1 份</t>
        </is>
      </c>
      <c r="E220" s="45" t="n">
        <v>5</v>
      </c>
      <c r="F220" s="45" t="n">
        <v>280</v>
      </c>
      <c r="G220" s="45" t="inlineStr">
        <is>
          <t>未提供飯量，先以一般便當白飯份量估算約蛋白質5g、碳水60g、280 kcal。</t>
        </is>
      </c>
      <c r="H220" s="45" t="n">
        <v>60</v>
      </c>
    </row>
    <row r="221">
      <c r="A221" s="441" t="n">
        <v>46272</v>
      </c>
      <c r="B221" s="42" t="inlineStr">
        <is>
          <t>晚餐</t>
        </is>
      </c>
      <c r="C221" s="36" t="inlineStr">
        <is>
          <t>使用者回報＋一般便當配菜透明估算</t>
        </is>
      </c>
      <c r="D221" s="45" t="inlineStr">
        <is>
          <t>便當配菜 2 份</t>
        </is>
      </c>
      <c r="E221" s="45" t="n">
        <v>4</v>
      </c>
      <c r="F221" s="45" t="n">
        <v>120</v>
      </c>
      <c r="G221" s="45" t="inlineStr">
        <is>
          <t>使用者回報兩樣菜，未提供菜色與份量，先以一般便當兩份配菜估算約蛋白質4g、碳水15g、120 kcal。</t>
        </is>
      </c>
      <c r="H221" s="45" t="n">
        <v>15</v>
      </c>
    </row>
    <row r="222">
      <c r="A222" s="441" t="n">
        <v>46272</v>
      </c>
      <c r="B222" s="42" t="inlineStr">
        <is>
          <t>晚餐</t>
        </is>
      </c>
      <c r="C222" s="36" t="inlineStr">
        <is>
          <t>使用者回報＋一般雞蛋透明估算</t>
        </is>
      </c>
      <c r="D222" s="45" t="inlineStr">
        <is>
          <t>蛋 1 顆</t>
        </is>
      </c>
      <c r="E222" s="45" t="n">
        <v>6.5</v>
      </c>
      <c r="F222" s="45" t="n">
        <v>75</v>
      </c>
      <c r="G222" s="45" t="inlineStr">
        <is>
          <t>未提供烹調方式，先以一般雞蛋1顆估算約蛋白質6.5g、碳水1g、75 kcal。</t>
        </is>
      </c>
      <c r="H222" s="45" t="n">
        <v>1</v>
      </c>
    </row>
    <row r="223">
      <c r="A223" s="441" t="n">
        <v>46272</v>
      </c>
      <c r="B223" s="42" t="inlineStr">
        <is>
          <t>午餐</t>
        </is>
      </c>
      <c r="C223" s="36" t="inlineStr">
        <is>
          <t>使用者回報</t>
        </is>
      </c>
      <c r="D223" s="45" t="inlineStr">
        <is>
          <t>未進食</t>
        </is>
      </c>
      <c r="E223" s="45" t="n">
        <v>0</v>
      </c>
      <c r="F223" s="45" t="n">
        <v>0</v>
      </c>
      <c r="G223" s="45" t="inlineStr">
        <is>
          <t>使用者回報午餐沒吃。</t>
        </is>
      </c>
      <c r="H223" s="45" t="n">
        <v>0</v>
      </c>
    </row>
    <row r="224">
      <c r="A224" s="441" t="n">
        <v>46273</v>
      </c>
      <c r="B224" s="42" t="inlineStr">
        <is>
          <t>早餐</t>
        </is>
      </c>
      <c r="C224" s="36" t="inlineStr">
        <is>
          <t>使用者回報＋既有估算</t>
        </is>
      </c>
      <c r="D224" s="45" t="inlineStr">
        <is>
          <t>7-ELEVEN 30元地瓜</t>
        </is>
      </c>
      <c r="E224" s="45" t="n">
        <v>2.3</v>
      </c>
      <c r="F224" s="45" t="n">
        <v>162</v>
      </c>
      <c r="G224" s="45" t="inlineStr">
        <is>
          <t>沿用 2026-09-07 同款 7-ELEVEN 30元地瓜估算：以約145g計，約蛋白質2.3g、碳水37.7g、162 kcal。</t>
        </is>
      </c>
      <c r="H224" s="45" t="n">
        <v>37.7</v>
      </c>
    </row>
    <row r="225">
      <c r="A225" s="441" t="n">
        <v>46273</v>
      </c>
      <c r="B225" s="42" t="inlineStr">
        <is>
          <t>早餐</t>
        </is>
      </c>
      <c r="C225" s="36" t="inlineStr">
        <is>
          <t>使用者回報＋既有同款紀錄</t>
        </is>
      </c>
      <c r="D225" s="45" t="inlineStr">
        <is>
          <t>7-ELEVEN 21Plus 剝皮辣椒雞胸肉 1 包（145g）</t>
        </is>
      </c>
      <c r="E225" s="45" t="n">
        <v>30</v>
      </c>
      <c r="F225" s="45" t="n">
        <v>163</v>
      </c>
      <c r="G225" s="45" t="inlineStr">
        <is>
          <t>沿用追蹤表先前同款紀錄：約蛋白質30g、163 kcal；未取得可靠碳水標示，因此碳水留白。</t>
        </is>
      </c>
      <c r="H225" s="45" t="inlineStr"/>
    </row>
    <row r="226">
      <c r="A226" s="441" t="n">
        <v>46273</v>
      </c>
      <c r="B226" s="42" t="inlineStr">
        <is>
          <t>早餐</t>
        </is>
      </c>
      <c r="C226" s="36" t="inlineStr">
        <is>
          <t>使用者回報</t>
        </is>
      </c>
      <c r="D226" s="45" t="inlineStr">
        <is>
          <t>額外蛋白質 26g</t>
        </is>
      </c>
      <c r="E226" s="45" t="n">
        <v>26</v>
      </c>
      <c r="F226" s="45" t="inlineStr"/>
      <c r="G226" s="45" t="inlineStr">
        <is>
          <t>使用者回報早餐另外攝取26g蛋白質；未提供來源、品牌、熱量或碳水，因此僅記錄蛋白質。</t>
        </is>
      </c>
      <c r="H226" s="45" t="inlineStr"/>
    </row>
    <row r="227">
      <c r="A227" s="441" t="n">
        <v>46273</v>
      </c>
      <c r="B227" s="42" t="inlineStr">
        <is>
          <t>午餐</t>
        </is>
      </c>
      <c r="C227" s="36" t="inlineStr">
        <is>
          <t>使用者回報</t>
        </is>
      </c>
      <c r="D227" s="45" t="inlineStr">
        <is>
          <t>蛋白飲／額外蛋白質 26g</t>
        </is>
      </c>
      <c r="E227" s="45" t="n">
        <v>26</v>
      </c>
      <c r="F227" s="45" t="inlineStr"/>
      <c r="G227" s="45" t="inlineStr">
        <is>
          <t>使用者回報午餐喝了26g蛋白質；未提供品牌、來源、熱量或碳水，因此僅記錄蛋白質。</t>
        </is>
      </c>
      <c r="H227" s="45" t="inlineStr"/>
    </row>
    <row r="228">
      <c r="A228" s="441" t="n">
        <v>46273</v>
      </c>
      <c r="B228" s="42" t="inlineStr">
        <is>
          <t>晚餐</t>
        </is>
      </c>
      <c r="C228" s="36" t="inlineStr">
        <is>
          <t>使用者回報＋一般台式份量透明估算</t>
        </is>
      </c>
      <c r="D228" s="45" t="inlineStr">
        <is>
          <t>雞肉飯 1 碗</t>
        </is>
      </c>
      <c r="E228" s="45" t="n">
        <v>25</v>
      </c>
      <c r="F228" s="45" t="n">
        <v>500</v>
      </c>
      <c r="G228" s="45" t="inlineStr">
        <is>
          <t>未提供店家與重量，先以一般台式雞肉飯1碗估算約蛋白質25g、碳水65g、500 kcal；實際會依飯量、雞肉量與雞油明顯變動。</t>
        </is>
      </c>
      <c r="H228" s="45" t="n">
        <v>65</v>
      </c>
    </row>
    <row r="229">
      <c r="A229" s="441" t="n">
        <v>46273</v>
      </c>
      <c r="B229" s="42" t="inlineStr">
        <is>
          <t>晚餐</t>
        </is>
      </c>
      <c r="C229" s="36" t="inlineStr">
        <is>
          <t>使用者回報＋一般台式份量透明估算</t>
        </is>
      </c>
      <c r="D229" s="45" t="inlineStr">
        <is>
          <t>豬肝湯 1 碗</t>
        </is>
      </c>
      <c r="E229" s="45" t="n">
        <v>24</v>
      </c>
      <c r="F229" s="45" t="n">
        <v>180</v>
      </c>
      <c r="G229" s="45" t="inlineStr">
        <is>
          <t>未提供店家與豬肝重量，先以一般台式豬肝湯1碗估算約蛋白質24g、碳水4g、180 kcal；實際依豬肝份量與湯底而變動。</t>
        </is>
      </c>
      <c r="H229" s="45" t="n">
        <v>4</v>
      </c>
    </row>
    <row r="230">
      <c r="A230" s="441" t="n">
        <v>46274</v>
      </c>
      <c r="B230" s="42" t="inlineStr">
        <is>
          <t>早餐</t>
        </is>
      </c>
      <c r="C230" s="36" t="inlineStr">
        <is>
          <t>使用者回報＋既有估算</t>
        </is>
      </c>
      <c r="D230" s="45" t="inlineStr">
        <is>
          <t>7-ELEVEN 30元地瓜</t>
        </is>
      </c>
      <c r="E230" s="45" t="n">
        <v>2.3</v>
      </c>
      <c r="F230" s="45" t="n">
        <v>162</v>
      </c>
      <c r="G230" s="45" t="inlineStr">
        <is>
          <t>沿用 2026-09-07 同款 7-ELEVEN 30元地瓜估算：以約145g計，約蛋白質2.3g、碳水37.7g、162 kcal。</t>
        </is>
      </c>
      <c r="H230" s="45" t="n">
        <v>37.7</v>
      </c>
    </row>
    <row r="231">
      <c r="A231" s="441" t="n">
        <v>46274</v>
      </c>
      <c r="B231" s="42" t="inlineStr">
        <is>
          <t>早餐</t>
        </is>
      </c>
      <c r="C231" s="36" t="inlineStr">
        <is>
          <t>使用者回報＋既有同款紀錄</t>
        </is>
      </c>
      <c r="D231" s="45" t="inlineStr">
        <is>
          <t>7-ELEVEN 21Plus 剝皮辣椒雞胸肉 1 包（145g）</t>
        </is>
      </c>
      <c r="E231" s="45" t="n">
        <v>30</v>
      </c>
      <c r="F231" s="45" t="n">
        <v>163</v>
      </c>
      <c r="G231" s="45" t="inlineStr">
        <is>
          <t>沿用追蹤表先前同款紀錄：約蛋白質30g、163 kcal；未取得可靠碳水標示，因此碳水留白。</t>
        </is>
      </c>
      <c r="H231" s="45" t="inlineStr"/>
    </row>
    <row r="232">
      <c r="A232" s="441" t="n">
        <v>46274</v>
      </c>
      <c r="B232" s="42" t="inlineStr">
        <is>
          <t>晚餐</t>
        </is>
      </c>
      <c r="C232" s="36" t="inlineStr">
        <is>
          <t>使用者回報＋一般台式份量透明估算</t>
        </is>
      </c>
      <c r="D232" s="45" t="inlineStr">
        <is>
          <t>牛雜湯 1 碗</t>
        </is>
      </c>
      <c r="E232" s="45" t="n">
        <v>28</v>
      </c>
      <c r="F232" s="45" t="n">
        <v>250</v>
      </c>
      <c r="G232" s="45" t="inlineStr">
        <is>
          <t>未提供店家、牛雜種類與重量，先以一般台式牛雜湯1碗估算約蛋白質28g、碳水5g、250 kcal；實際依牛雜部位、油脂與湯底而變動。</t>
        </is>
      </c>
      <c r="H232" s="45" t="n">
        <v>5</v>
      </c>
    </row>
    <row r="233">
      <c r="A233" s="441" t="n">
        <v>46275</v>
      </c>
      <c r="B233" s="42" t="inlineStr">
        <is>
          <t>早餐</t>
        </is>
      </c>
      <c r="C233" s="36" t="inlineStr">
        <is>
          <t>使用者回報＋既有估算</t>
        </is>
      </c>
      <c r="D233" s="45" t="inlineStr">
        <is>
          <t>7-ELEVEN 30元地瓜</t>
        </is>
      </c>
      <c r="E233" s="45" t="n">
        <v>2.3</v>
      </c>
      <c r="F233" s="45" t="n">
        <v>162</v>
      </c>
      <c r="G233" s="45" t="inlineStr">
        <is>
          <t>沿用先前同款7-ELEVEN 30元地瓜估算：以約145g計，約蛋白質2.3g、碳水37.7g、162 kcal。</t>
        </is>
      </c>
      <c r="H233" s="45" t="n">
        <v>37.7</v>
      </c>
    </row>
    <row r="234">
      <c r="A234" s="441" t="n">
        <v>46275</v>
      </c>
      <c r="B234" s="42" t="inlineStr">
        <is>
          <t>早餐</t>
        </is>
      </c>
      <c r="C234" s="36" t="inlineStr">
        <is>
          <t>使用者回報＋既有同款紀錄</t>
        </is>
      </c>
      <c r="D234" s="45" t="inlineStr">
        <is>
          <t>7-ELEVEN 21Plus 剝皮辣椒雞胸肉 1 包（145g）</t>
        </is>
      </c>
      <c r="E234" s="45" t="n">
        <v>30</v>
      </c>
      <c r="F234" s="45" t="n">
        <v>163</v>
      </c>
      <c r="G234" s="45" t="inlineStr">
        <is>
          <t>沿用追蹤表先前同款紀錄：約蛋白質30g、163 kcal；未取得可靠碳水標示，因此碳水留白。</t>
        </is>
      </c>
      <c r="H234" s="45" t="inlineStr"/>
    </row>
    <row r="235">
      <c r="A235" s="441" t="n">
        <v>46275</v>
      </c>
      <c r="B235" s="42" t="inlineStr">
        <is>
          <t>早餐</t>
        </is>
      </c>
      <c r="C235" s="36" t="inlineStr">
        <is>
          <t>使用者回報</t>
        </is>
      </c>
      <c r="D235" s="45" t="inlineStr">
        <is>
          <t>乳清蛋白 26g蛋白質</t>
        </is>
      </c>
      <c r="E235" s="45" t="n">
        <v>26</v>
      </c>
      <c r="F235" s="45" t="inlineStr"/>
      <c r="G235" s="45" t="inlineStr">
        <is>
          <t>使用者回報早餐另攝取乳清，提供蛋白質26g；未提供品牌、熱量或碳水，因此僅記錄蛋白質。</t>
        </is>
      </c>
      <c r="H235" s="45" t="inlineStr"/>
    </row>
    <row r="236">
      <c r="A236" s="441" t="n">
        <v>46275</v>
      </c>
      <c r="B236" s="42" t="inlineStr">
        <is>
          <t>晚餐</t>
        </is>
      </c>
      <c r="C236" s="36" t="inlineStr">
        <is>
          <t>使用者回報＋一般份量透明估算</t>
        </is>
      </c>
      <c r="D236" s="45" t="inlineStr">
        <is>
          <t>芭樂 1 顆</t>
        </is>
      </c>
      <c r="E236" s="45" t="n">
        <v>2.5</v>
      </c>
      <c r="F236" s="45" t="n">
        <v>120</v>
      </c>
      <c r="G236" s="45" t="inlineStr">
        <is>
          <t>使用者回報晚餐吃一顆芭樂；未提供重量，先以一般中型芭樂估算約蛋白質2.5g、碳水25g、120 kcal，實際依大小而變動。</t>
        </is>
      </c>
      <c r="H236" s="45" t="n">
        <v>25</v>
      </c>
    </row>
    <row r="237">
      <c r="A237" s="441" t="n">
        <v>46275</v>
      </c>
      <c r="B237" s="42" t="inlineStr">
        <is>
          <t>晚餐</t>
        </is>
      </c>
      <c r="C237" s="36" t="inlineStr">
        <is>
          <t>使用者回報＋一般便當份量透明估算</t>
        </is>
      </c>
      <c r="D237" s="45" t="inlineStr">
        <is>
          <t>獅子頭雞肉飯 1 份</t>
        </is>
      </c>
      <c r="E237" s="45" t="n">
        <v>35</v>
      </c>
      <c r="F237" s="45" t="n">
        <v>750</v>
      </c>
      <c r="G237" s="45" t="inlineStr">
        <is>
          <t>使用者回報獅子頭雞肉飯；未提供店家、份量或配菜內容，先以一般一份主食估算約蛋白質35g、碳水70g、750 kcal，實際依獅子頭大小、雞肉量、飯量與醬汁而變動。</t>
        </is>
      </c>
      <c r="H237" s="45" t="n">
        <v>70</v>
      </c>
    </row>
    <row r="238">
      <c r="A238" s="441" t="n">
        <v>46276</v>
      </c>
      <c r="B238" s="42" t="inlineStr">
        <is>
          <t>早餐</t>
        </is>
      </c>
      <c r="C238" s="36" t="inlineStr">
        <is>
          <t>使用者回報＋既有估算</t>
        </is>
      </c>
      <c r="D238" s="45" t="inlineStr">
        <is>
          <t>7-ELEVEN 30元地瓜</t>
        </is>
      </c>
      <c r="E238" s="45" t="n">
        <v>2.3</v>
      </c>
      <c r="F238" s="45" t="n">
        <v>162</v>
      </c>
      <c r="G238" s="45" t="inlineStr">
        <is>
          <t>沿用先前同款7-ELEVEN 30元地瓜估算：以約145g計，約蛋白質2.3g、碳水37.7g、162 kcal。</t>
        </is>
      </c>
      <c r="H238" s="45" t="n">
        <v>37.7</v>
      </c>
    </row>
    <row r="239">
      <c r="A239" s="441" t="n">
        <v>46276</v>
      </c>
      <c r="B239" s="42" t="inlineStr">
        <is>
          <t>早餐</t>
        </is>
      </c>
      <c r="C239" s="36" t="inlineStr">
        <is>
          <t>使用者回報＋既有同款紀錄</t>
        </is>
      </c>
      <c r="D239" s="45" t="inlineStr">
        <is>
          <t>7-ELEVEN 21Plus 剝皮辣椒雞胸肉 1 包（145g）</t>
        </is>
      </c>
      <c r="E239" s="45" t="n">
        <v>30</v>
      </c>
      <c r="F239" s="45" t="n">
        <v>163</v>
      </c>
      <c r="G239" s="45" t="inlineStr">
        <is>
          <t>沿用追蹤表先前同款紀錄：約蛋白質30g、163 kcal；未取得可靠碳水標示，因此碳水留白。</t>
        </is>
      </c>
      <c r="H239" s="45" t="inlineStr"/>
    </row>
    <row r="240">
      <c r="A240" s="441" t="n">
        <v>46276</v>
      </c>
      <c r="B240" s="42" t="inlineStr">
        <is>
          <t>午餐</t>
        </is>
      </c>
      <c r="C240" s="36" t="inlineStr">
        <is>
          <t>使用者回報</t>
        </is>
      </c>
      <c r="D240" s="45" t="inlineStr">
        <is>
          <t>蛋白飲／額外蛋白質 52g</t>
        </is>
      </c>
      <c r="E240" s="45" t="n">
        <v>52</v>
      </c>
      <c r="F240" s="45" t="inlineStr"/>
      <c r="G240" s="45" t="inlineStr">
        <is>
          <t>使用者回報午餐喝了52g蛋白質；未提供品牌、熱量或碳水，因此僅記錄蛋白質。</t>
        </is>
      </c>
      <c r="H240" s="45" t="inlineStr"/>
    </row>
    <row r="241">
      <c r="A241" s="441" t="n">
        <v>46276</v>
      </c>
      <c r="B241" s="42" t="inlineStr">
        <is>
          <t>晚餐</t>
        </is>
      </c>
      <c r="C241" s="36" t="inlineStr">
        <is>
          <t>使用者回報＋照片份量透明估算</t>
        </is>
      </c>
      <c r="D241" s="45" t="inlineStr">
        <is>
          <t>鹽水雞：雞胸肉 1 份</t>
        </is>
      </c>
      <c r="E241" s="45" t="n">
        <v>31</v>
      </c>
      <c r="F241" s="45" t="n">
        <v>170</v>
      </c>
      <c r="G241" s="45" t="inlineStr">
        <is>
          <t>照片可見多塊雞胸肉，估約100g熟重，約蛋白質31g、170 kcal；實際依份量與拌油而變動。</t>
        </is>
      </c>
      <c r="H241" s="45" t="inlineStr"/>
    </row>
    <row r="242">
      <c r="A242" s="441" t="n">
        <v>46276</v>
      </c>
      <c r="B242" s="42" t="inlineStr">
        <is>
          <t>晚餐</t>
        </is>
      </c>
      <c r="C242" s="36" t="inlineStr">
        <is>
          <t>使用者回報＋照片份量透明估算</t>
        </is>
      </c>
      <c r="D242" s="45" t="inlineStr">
        <is>
          <t>鹽水雞：豬耳朵 1 份</t>
        </is>
      </c>
      <c r="E242" s="45" t="n">
        <v>14</v>
      </c>
      <c r="F242" s="45" t="n">
        <v>180</v>
      </c>
      <c r="G242" s="45" t="inlineStr">
        <is>
          <t>照片可見豬耳朵條狀切片，估一般鹽水雞配料1份，約蛋白質14g、180 kcal；實際依肥瘦與份量而變動。</t>
        </is>
      </c>
      <c r="H242" s="45" t="inlineStr"/>
    </row>
    <row r="243">
      <c r="A243" s="441" t="n">
        <v>46276</v>
      </c>
      <c r="B243" s="42" t="inlineStr">
        <is>
          <t>晚餐</t>
        </is>
      </c>
      <c r="C243" s="36" t="inlineStr">
        <is>
          <t>使用者回報＋照片份量透明估算</t>
        </is>
      </c>
      <c r="D243" s="45" t="inlineStr">
        <is>
          <t>鹽水雞：高麗菜 1 份</t>
        </is>
      </c>
      <c r="E243" s="45" t="n">
        <v>2</v>
      </c>
      <c r="F243" s="45" t="n">
        <v>45</v>
      </c>
      <c r="G243" s="45" t="inlineStr">
        <is>
          <t>照片可見高麗菜約1份，估約蛋白質2g、碳水8g、45 kcal；未另加估拌油。</t>
        </is>
      </c>
      <c r="H243" s="45" t="n">
        <v>8</v>
      </c>
    </row>
    <row r="244">
      <c r="A244" s="441" t="n">
        <v>46276</v>
      </c>
      <c r="B244" s="42" t="inlineStr">
        <is>
          <t>晚餐</t>
        </is>
      </c>
      <c r="C244" s="36" t="inlineStr">
        <is>
          <t>使用者回報＋照片份量透明估算</t>
        </is>
      </c>
      <c r="D244" s="45" t="inlineStr">
        <is>
          <t>鹽水雞：豆乾 1 份</t>
        </is>
      </c>
      <c r="E244" s="45" t="n">
        <v>12</v>
      </c>
      <c r="F244" s="45" t="n">
        <v>130</v>
      </c>
      <c r="G244" s="45" t="inlineStr">
        <is>
          <t>照片可見豆乾切塊，估一般1份約蛋白質12g、碳水5g、130 kcal；實際依份量而變動。</t>
        </is>
      </c>
      <c r="H244" s="45" t="n">
        <v>5</v>
      </c>
    </row>
    <row r="245">
      <c r="A245" s="441" t="n">
        <v>46277</v>
      </c>
      <c r="B245" s="42" t="inlineStr">
        <is>
          <t>早餐</t>
        </is>
      </c>
      <c r="C245" s="36" t="inlineStr">
        <is>
          <t>使用者回報＋既有估算</t>
        </is>
      </c>
      <c r="D245" s="45" t="inlineStr">
        <is>
          <t>7-ELEVEN 30元地瓜</t>
        </is>
      </c>
      <c r="E245" s="45" t="n">
        <v>2.3</v>
      </c>
      <c r="F245" s="45" t="n">
        <v>162</v>
      </c>
      <c r="G245" s="45" t="inlineStr">
        <is>
          <t>沿用先前同款 7-ELEVEN 30元地瓜估算：約145g，約蛋白質2.3g、碳水37.7g、162 kcal。</t>
        </is>
      </c>
      <c r="H245" s="45" t="n">
        <v>37.7</v>
      </c>
    </row>
    <row r="246">
      <c r="A246" s="441" t="n">
        <v>46277</v>
      </c>
      <c r="B246" s="42" t="inlineStr">
        <is>
          <t>早餐</t>
        </is>
      </c>
      <c r="C246" s="36" t="inlineStr">
        <is>
          <t>使用者回報＋既有同款紀錄</t>
        </is>
      </c>
      <c r="D246" s="45" t="inlineStr">
        <is>
          <t>7-ELEVEN 21Plus 剝皮辣椒雞胸肉 1 包（145g）</t>
        </is>
      </c>
      <c r="E246" s="45" t="n">
        <v>30</v>
      </c>
      <c r="F246" s="45" t="n">
        <v>163</v>
      </c>
      <c r="G246" s="45" t="inlineStr">
        <is>
          <t>沿用追蹤表先前同款紀錄：約蛋白質30g、163 kcal；未取得可靠碳水標示，因此碳水留白。</t>
        </is>
      </c>
      <c r="H246" s="45" t="inlineStr"/>
    </row>
    <row r="247">
      <c r="A247" s="441" t="n">
        <v>46277</v>
      </c>
      <c r="B247" s="42" t="inlineStr">
        <is>
          <t>早餐</t>
        </is>
      </c>
      <c r="C247" s="36" t="inlineStr">
        <is>
          <t>使用者回報</t>
        </is>
      </c>
      <c r="D247" s="45" t="inlineStr">
        <is>
          <t>乳清蛋白 26g 蛋白質</t>
        </is>
      </c>
      <c r="E247" s="45" t="n">
        <v>26</v>
      </c>
      <c r="F247" s="45" t="inlineStr"/>
      <c r="G247" s="45" t="inlineStr">
        <is>
          <t>使用者回報早餐攝取26g蛋白質乳清；未提供品牌、粉重、熱量或碳水，因此僅記錄蛋白質。</t>
        </is>
      </c>
      <c r="H247" s="45" t="inlineStr"/>
    </row>
    <row r="248">
      <c r="A248" s="441" t="n">
        <v>46277</v>
      </c>
      <c r="B248" s="42" t="inlineStr">
        <is>
          <t>午餐</t>
        </is>
      </c>
      <c r="C248" s="36" t="inlineStr">
        <is>
          <t>使用者回報＋IKEA官方品項確認＋透明估算</t>
        </is>
      </c>
      <c r="D248" s="45" t="inlineStr">
        <is>
          <t>IKEA 瑞典雞肉丸 8 顆 + 馬鈴薯泥</t>
        </is>
      </c>
      <c r="E248" s="45" t="n">
        <v>21</v>
      </c>
      <c r="F248" s="45" t="n">
        <v>430</v>
      </c>
      <c r="G248" s="45" t="inlineStr">
        <is>
          <t>IKEA 台灣官方菜單可確認 8 顆瑞典雞肉丸主餐搭配薯泥；使用者僅明確回報雞肉丸 8 顆與馬鈴薯泥，因此不另計未提及的雙色蔬菜、肉丸奶醬或越橘果醬。未提供實際薯泥重量；雞肉丸參考 HUVUDROLL 公開營養資料並以一般 8 顆餐廳份量估算，整份先記約蛋白質 21g、碳水 35g、430 kcal，實際份量可能有明顯差異。</t>
        </is>
      </c>
      <c r="H248" s="45" t="n">
        <v>35</v>
      </c>
    </row>
    <row r="249">
      <c r="A249" s="441" t="n">
        <v>46277</v>
      </c>
      <c r="B249" s="42" t="inlineStr">
        <is>
          <t>晚餐</t>
        </is>
      </c>
      <c r="C249" s="36" t="inlineStr">
        <is>
          <t>使用者回報＋既有同品項透明估算</t>
        </is>
      </c>
      <c r="D249" s="45" t="inlineStr">
        <is>
          <t>雞肉飯 1 碗</t>
        </is>
      </c>
      <c r="E249" s="45" t="n">
        <v>25</v>
      </c>
      <c r="F249" s="45" t="n">
        <v>500</v>
      </c>
      <c r="G249" s="45" t="inlineStr">
        <is>
          <t>沿用追蹤表 2026-09-08 相同『雞肉飯 1 碗』估算：約蛋白質 25g、碳水 65g、500 kcal；未提供店家與份量，實際依飯量、雞肉量與雞油而變動。</t>
        </is>
      </c>
      <c r="H249" s="45" t="n">
        <v>65</v>
      </c>
    </row>
    <row r="250">
      <c r="A250" s="441" t="n">
        <v>46277</v>
      </c>
      <c r="B250" s="42" t="inlineStr">
        <is>
          <t>晚餐</t>
        </is>
      </c>
      <c r="C250" s="36" t="inlineStr">
        <is>
          <t>使用者回報</t>
        </is>
      </c>
      <c r="D250" s="45" t="inlineStr">
        <is>
          <t>晚間額外蛋白質 52g</t>
        </is>
      </c>
      <c r="E250" s="45" t="n">
        <v>52</v>
      </c>
      <c r="F250" s="45" t="inlineStr"/>
      <c r="G250" s="45" t="inlineStr">
        <is>
          <t>使用者回報 2026-09-12 晚上另外攝取蛋白質 52g；未提供品牌、來源、熱量或碳水，因此僅記錄蛋白質，其餘不猜。</t>
        </is>
      </c>
      <c r="H250" s="45" t="inlineStr"/>
    </row>
    <row r="251">
      <c r="A251" s="441" t="n">
        <v>46278</v>
      </c>
      <c r="B251" s="42" t="inlineStr">
        <is>
          <t>早餐</t>
        </is>
      </c>
      <c r="C251" s="36" t="inlineStr">
        <is>
          <t>使用者回報</t>
        </is>
      </c>
      <c r="D251" s="45" t="inlineStr">
        <is>
          <t>未進食</t>
        </is>
      </c>
      <c r="E251" s="45" t="n">
        <v>0</v>
      </c>
      <c r="F251" s="45" t="n">
        <v>0</v>
      </c>
      <c r="G251" s="45" t="inlineStr">
        <is>
          <t>使用者明確回報早上沒有吃東西。</t>
        </is>
      </c>
      <c r="H251" s="45" t="n">
        <v>0</v>
      </c>
    </row>
    <row r="252">
      <c r="A252" s="441" t="n">
        <v>46278</v>
      </c>
      <c r="B252" s="42" t="inlineStr">
        <is>
          <t>午餐</t>
        </is>
      </c>
      <c r="C252" s="36" t="inlineStr">
        <is>
          <t>使用者回報＋麥當勞台灣現售品項確認＋透明估算</t>
        </is>
      </c>
      <c r="D252" s="45" t="inlineStr">
        <is>
          <t>麥當勞 雙層麥香魚 1 個 + 大薯 1 份</t>
        </is>
      </c>
      <c r="E252" s="45" t="n">
        <v>30.6</v>
      </c>
      <c r="F252" s="45" t="n">
        <v>958</v>
      </c>
      <c r="G252" s="45" t="inlineStr">
        <is>
          <t>麥當勞台灣官網目前可確認雙層麥香魚與大薯為現售品項。雙層麥香魚完整營養數字官網動態頁未直接顯示，本筆沿用公開歷史同品項資料約 485 kcal、蛋白質 23.2g、碳水 43.3g；大薯採近期整理約 473 kcal、蛋白質 7.4g、碳水 63g。合計約 958 kcal、蛋白質 30.6g、碳水 106.3g；實際配方或份量若有更新會有誤差。</t>
        </is>
      </c>
      <c r="H252" s="45" t="n">
        <v>106.3</v>
      </c>
    </row>
    <row r="253">
      <c r="A253" s="441" t="n">
        <v>46278</v>
      </c>
      <c r="B253" s="42" t="inlineStr">
        <is>
          <t>午餐</t>
        </is>
      </c>
      <c r="C253" s="36" t="inlineStr">
        <is>
          <t>使用者回報</t>
        </is>
      </c>
      <c r="D253" s="45" t="inlineStr">
        <is>
          <t>額外蛋白質 52g</t>
        </is>
      </c>
      <c r="E253" s="45" t="n">
        <v>52</v>
      </c>
      <c r="F253" s="45" t="inlineStr"/>
      <c r="G253" s="45" t="inlineStr">
        <is>
          <t>使用者回報午餐另外攝取蛋白質 52g；未提供來源、品牌、熱量或碳水，因此僅記錄蛋白質，其餘不猜。</t>
        </is>
      </c>
      <c r="H253" s="45" t="inlineStr"/>
    </row>
    <row r="254">
      <c r="A254" s="441" t="n">
        <v>46278</v>
      </c>
      <c r="B254" s="42" t="inlineStr">
        <is>
          <t>晚餐</t>
        </is>
      </c>
      <c r="C254" s="36" t="inlineStr">
        <is>
          <t>使用者回報＋Pizza Hut 台灣官方現售品項確認</t>
        </is>
      </c>
      <c r="D254" s="45" t="inlineStr">
        <is>
          <t>Pizza Hut 極炙厚牛干貝海陸披薩 2 片</t>
        </is>
      </c>
      <c r="E254" s="45" t="inlineStr"/>
      <c r="F254" s="45" t="inlineStr"/>
      <c r="G254" s="45" t="inlineStr">
        <is>
          <t>Pizza Hut 台灣官方目前現售『極炙厚牛干貝海陸』，配料含炭火風燒牛肉、干貝、櫛瓜、番茄、洋蔥、莫札瑞拉起司、BBQ醬、炭火燒肉醬與明太子醬。使用者回報吃 2 片；未提供餅皮，官方頁面亦未提供可直接核對的完整營養標示，因此蛋白質、碳水與熱量留空，不自行猜測。</t>
        </is>
      </c>
      <c r="H254" s="45" t="inlineStr"/>
    </row>
    <row r="255">
      <c r="A255" s="441" t="n">
        <v>46278</v>
      </c>
      <c r="B255" s="42" t="inlineStr">
        <is>
          <t>晚餐</t>
        </is>
      </c>
      <c r="C255" s="36" t="inlineStr">
        <is>
          <t>使用者回報</t>
        </is>
      </c>
      <c r="D255" s="45" t="inlineStr">
        <is>
          <t>晚間額外蛋白質 52g</t>
        </is>
      </c>
      <c r="E255" s="45" t="n">
        <v>52</v>
      </c>
      <c r="F255" s="45" t="inlineStr"/>
      <c r="G255" s="45" t="inlineStr">
        <is>
          <t>使用者於 2026-09-14 00:44 延續 2026-09-13 晚餐與當日蛋白質紀錄，回報晚上另外喝了蛋白質 52g；依上下文歸入 2026-09-13 晚餐追加。未提供品牌、來源、熱量或碳水，因此僅記錄蛋白質 52g，其餘不猜。</t>
        </is>
      </c>
      <c r="H255" s="45" t="inlineStr"/>
    </row>
    <row r="256">
      <c r="A256" s="441" t="n">
        <v>46279</v>
      </c>
      <c r="B256" s="42" t="inlineStr">
        <is>
          <t>早餐</t>
        </is>
      </c>
      <c r="C256" s="36" t="inlineStr">
        <is>
          <t>使用者回報＋既有固定估算</t>
        </is>
      </c>
      <c r="D256" s="45" t="inlineStr">
        <is>
          <t>地瓜 1 份 + 雞胸肉 1 份</t>
        </is>
      </c>
      <c r="E256" s="45" t="n">
        <v>32</v>
      </c>
      <c r="F256" s="45" t="n">
        <v>285</v>
      </c>
      <c r="G256" s="45" t="inlineStr">
        <is>
          <t>沿用追蹤表既有相同組合設定：地瓜 1 份約蛋白質 2g、碳水 35g、125 kcal；雞胸肉 1 份約蛋白質 30g、160 kcal。</t>
        </is>
      </c>
      <c r="H256" s="45" t="n">
        <v>35</v>
      </c>
    </row>
    <row r="257">
      <c r="A257" s="441" t="n">
        <v>46279</v>
      </c>
      <c r="B257" s="42" t="inlineStr">
        <is>
          <t>午餐</t>
        </is>
      </c>
      <c r="C257" s="36" t="inlineStr">
        <is>
          <t>使用者回報＋沿用既有同品項透明估算</t>
        </is>
      </c>
      <c r="D257" s="45" t="inlineStr">
        <is>
          <t>三商鮮五丼 麻婆魚排套餐</t>
        </is>
      </c>
      <c r="E257" s="45" t="n">
        <v>30</v>
      </c>
      <c r="F257" s="45" t="n">
        <v>850</v>
      </c>
      <c r="G257" s="45" t="inlineStr">
        <is>
          <t>沿用追蹤表 2026-08-18 相同品項估算：約蛋白質 30g、碳水 105g、850 kcal。店家未提供完整營養標示，實際熱量仍會受飯量、炸魚排吸油與麻婆醬份量影響。</t>
        </is>
      </c>
      <c r="H257" s="45" t="n">
        <v>105</v>
      </c>
    </row>
    <row r="258">
      <c r="A258" s="441" t="n">
        <v>46279</v>
      </c>
      <c r="B258" s="42" t="inlineStr">
        <is>
          <t>午餐</t>
        </is>
      </c>
      <c r="C258" s="36" t="inlineStr">
        <is>
          <t>使用者回報</t>
        </is>
      </c>
      <c r="D258" s="45" t="inlineStr">
        <is>
          <t>額外蛋白質 52g</t>
        </is>
      </c>
      <c r="E258" s="45" t="n">
        <v>52</v>
      </c>
      <c r="F258" s="45" t="inlineStr"/>
      <c r="G258" s="45" t="inlineStr">
        <is>
          <t>使用者回報午餐另外攝取蛋白質 52g；未提供來源、品牌、熱量或碳水，因此僅記錄蛋白質，其餘不猜。</t>
        </is>
      </c>
      <c r="H258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  <row r="4">
      <c r="A4" s="21" t="n">
        <v>46270</v>
      </c>
      <c r="B4" t="inlineStr">
        <is>
          <t>跑步機有氧</t>
        </is>
      </c>
      <c r="C4" t="n">
        <v>1</v>
      </c>
      <c r="D4" t="n">
        <v>20</v>
      </c>
      <c r="E4" t="n">
        <v>1</v>
      </c>
      <c r="F4" t="n">
        <v>3.3</v>
      </c>
      <c r="H4" t="inlineStr">
        <is>
          <t>重訓後跑步機有氧；心率約142 bpm。與日常散步分開記錄，也不與12%高坡度爬坡混為同一強度。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DRAX 槓片式腿推機</t>
        </is>
      </c>
      <c r="B2" t="n">
        <v>40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2026-09-14</t>
        </is>
      </c>
      <c r="F2" t="n">
        <v>40</v>
      </c>
      <c r="G2" t="n">
        <v>12</v>
      </c>
      <c r="H2" t="n">
        <v>2</v>
      </c>
      <c r="I2" s="449" t="inlineStr">
        <is>
          <t>40kg×15/DBR4；40kg×15/DBR3；40kg×15/DBR1；40kg×12/DBR2</t>
        </is>
      </c>
      <c r="J2" s="449" t="inlineStr">
        <is>
          <t>正常</t>
        </is>
      </c>
      <c r="K2" s="449" t="inlineStr">
        <is>
          <t>最近一次訓練中 40 kg 有 3 組落在約 8–20 下、DBR1–3；以可重複的工作組表現優先，不直接選最高重量。</t>
        </is>
      </c>
    </row>
    <row r="3">
      <c r="A3" t="inlineStr">
        <is>
          <t>Gymleco Active Line 321 Chest Press</t>
        </is>
      </c>
      <c r="B3" t="n">
        <v>25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2026-09-14</t>
        </is>
      </c>
      <c r="F3" t="n">
        <v>25</v>
      </c>
      <c r="G3" t="n">
        <v>15</v>
      </c>
      <c r="H3" t="n">
        <v>1</v>
      </c>
      <c r="I3" s="449" t="inlineStr">
        <is>
          <t>25kg×15/DBR1；25kg×15/DBR1</t>
        </is>
      </c>
      <c r="J3" s="449" t="inlineStr">
        <is>
          <t>正常</t>
        </is>
      </c>
      <c r="K3" s="449" t="inlineStr">
        <is>
          <t>最近一次訓練中 25 kg 有 2 組落在約 8–20 下、DBR1–3；以可重複的工作組表現優先，不直接選最高重量。</t>
        </is>
      </c>
    </row>
    <row r="4">
      <c r="A4" t="inlineStr">
        <is>
          <t>上斜胸推</t>
        </is>
      </c>
      <c r="B4" t="inlineStr"/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2026-09-11</t>
        </is>
      </c>
      <c r="F4" t="n">
        <v>20</v>
      </c>
      <c r="G4" t="n">
        <v>12</v>
      </c>
      <c r="H4" t="n">
        <v>1</v>
      </c>
      <c r="I4" s="449" t="inlineStr">
        <is>
          <t>25kg×15/DBR1；25kg×13/DBR1；25kg×9/DBR0；20kg×12/DBR1</t>
        </is>
      </c>
      <c r="J4" s="449" t="inlineStr">
        <is>
          <t>疼痛／不適：暫不自動推薦重量</t>
        </is>
      </c>
      <c r="K4" s="449" t="inlineStr">
        <is>
          <t>最近一次訓練備註出現疼痛／不適；保留歷史重量，但下次先確認無痛，不依重量基準直接加載。</t>
        </is>
      </c>
    </row>
    <row r="5">
      <c r="A5" t="inlineStr">
        <is>
          <t>保加利亞分腿蹲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2026-09-11</t>
        </is>
      </c>
      <c r="F5" t="n">
        <v>10</v>
      </c>
      <c r="G5" t="n">
        <v>10</v>
      </c>
      <c r="H5" t="n">
        <v>1</v>
      </c>
      <c r="I5" s="449" t="inlineStr">
        <is>
          <t>左10kg×15/DBR2；左10kg×15/DBR2；左10kg×12/DBR2；左10kg×12/DBR2；左10kg×13/DBR2；右10kg×10/DBR2；左10kg×12/DBR1；右10kg×10/DBR1</t>
        </is>
      </c>
      <c r="J5" s="449" t="inlineStr">
        <is>
          <t>正常</t>
        </is>
      </c>
      <c r="K5" s="449" t="inlineStr">
        <is>
          <t>最近一次訓練中 10 kg 有 8 組落在約 8–20 下、DBR1–3；以可重複的工作組表現優先，不直接選最高重量。</t>
        </is>
      </c>
    </row>
    <row r="6">
      <c r="A6" t="inlineStr">
        <is>
          <t>划船</t>
        </is>
      </c>
      <c r="B6" t="n">
        <v>26.5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2026-09-07</t>
        </is>
      </c>
      <c r="F6" t="n">
        <v>30</v>
      </c>
      <c r="G6" t="n">
        <v>13</v>
      </c>
      <c r="H6" t="n">
        <v>0</v>
      </c>
      <c r="I6" s="449" t="inlineStr">
        <is>
          <t>26.5kg×15/DBR4；26.5kg×15/DBR2；30kg×13/DBR2；30kg×13/DBR0；30kg×13/DBR0</t>
        </is>
      </c>
      <c r="J6" s="449" t="inlineStr">
        <is>
          <t>正常</t>
        </is>
      </c>
      <c r="K6" s="449" t="inlineStr">
        <is>
          <t>最近一次訓練中 26.5 kg 有 1 組落在約 8–20 下、DBR1–3；以可重複的工作組表現優先，不直接選最高重量。</t>
        </is>
      </c>
    </row>
    <row r="7">
      <c r="A7" t="inlineStr">
        <is>
          <t>反向飛鳥</t>
        </is>
      </c>
      <c r="B7" t="n">
        <v>15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2026-09-11</t>
        </is>
      </c>
      <c r="F7" t="n">
        <v>15</v>
      </c>
      <c r="G7" t="n">
        <v>11</v>
      </c>
      <c r="H7" t="n">
        <v>1</v>
      </c>
      <c r="I7" s="449" t="inlineStr">
        <is>
          <t>15kg×15/DBR3；15kg×15/DBR1；15kg×13/DBR1；15kg×13/DBR1；15kg×11/DBR1</t>
        </is>
      </c>
      <c r="J7" s="449" t="inlineStr">
        <is>
          <t>正常</t>
        </is>
      </c>
      <c r="K7" s="449" t="inlineStr">
        <is>
          <t>最近一次訓練中 15 kg 有 5 組落在約 8–20 下、DBR1–3；以可重複的工作組表現優先，不直接選最高重量。</t>
        </is>
      </c>
    </row>
    <row r="8">
      <c r="A8" t="inlineStr">
        <is>
          <t>啞鈴側平舉</t>
        </is>
      </c>
      <c r="B8" t="n">
        <v>10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2026-09-07</t>
        </is>
      </c>
      <c r="F8" t="n">
        <v>10</v>
      </c>
      <c r="G8" t="n">
        <v>15</v>
      </c>
      <c r="H8" t="n">
        <v>0</v>
      </c>
      <c r="I8" s="449" t="inlineStr">
        <is>
          <t>10kg×15/DBR1；10kg×13/DBR1；10kg×14/DBR1；10kg×15/DBR0</t>
        </is>
      </c>
      <c r="J8" s="449" t="inlineStr">
        <is>
          <t>正常</t>
        </is>
      </c>
      <c r="K8" s="449" t="inlineStr">
        <is>
          <t>最近一次訓練中 10 kg 有 3 組落在約 8–20 下、DBR1–3；以可重複的工作組表現優先，不直接選最高重量。</t>
        </is>
      </c>
    </row>
    <row r="9">
      <c r="A9" t="inlineStr">
        <is>
          <t>滑輪下拉</t>
        </is>
      </c>
      <c r="B9" t="n">
        <v>37.5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2026-09-11</t>
        </is>
      </c>
      <c r="F9" t="n">
        <v>37.5</v>
      </c>
      <c r="G9" t="n">
        <v>8</v>
      </c>
      <c r="H9" t="n">
        <v>0</v>
      </c>
      <c r="I9" s="449" t="inlineStr">
        <is>
          <t>37.5kg×13/DBR2；37.5kg×13/DBR2；37.5kg×11/DBR1；37.5kg×8/DBR0</t>
        </is>
      </c>
      <c r="J9" s="449" t="inlineStr">
        <is>
          <t>正常</t>
        </is>
      </c>
      <c r="K9" s="449" t="inlineStr">
        <is>
          <t>最近一次訓練中 37.5 kg 有 3 組落在約 8–20 下、DBR1–3；以可重複的工作組表現優先，不直接選最高重量。</t>
        </is>
      </c>
    </row>
    <row r="10">
      <c r="A10" t="inlineStr">
        <is>
          <t>睾丸繩下拉</t>
        </is>
      </c>
      <c r="B10" t="n">
        <v>6.25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2026-08-14</t>
        </is>
      </c>
      <c r="F10" t="n">
        <v>6.25</v>
      </c>
      <c r="G10" t="n">
        <v>11</v>
      </c>
      <c r="H10" t="n">
        <v>0</v>
      </c>
      <c r="I10" s="449" t="inlineStr">
        <is>
          <t>8.75kg×11/DBR0；8.75kg×10/DBR0；6.25kg×13/DBR0；6.25kg×13/DBR0；6.25kg×11/DBR0</t>
        </is>
      </c>
      <c r="J10" s="449" t="inlineStr">
        <is>
          <t>正常</t>
        </is>
      </c>
      <c r="K10" s="449" t="inlineStr">
        <is>
          <t>最近一次已知組多為力竭；下次採該次較低重量重新建立 DBR1–3 的工作組。</t>
        </is>
      </c>
    </row>
    <row r="11">
      <c r="A11" t="inlineStr">
        <is>
          <t>羅馬尼亞分腿蹲</t>
        </is>
      </c>
      <c r="B11" t="n">
        <v>10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2026-09-05</t>
        </is>
      </c>
      <c r="F11" t="n">
        <v>10</v>
      </c>
      <c r="G11" t="n">
        <v>11</v>
      </c>
      <c r="H11" t="n">
        <v>1</v>
      </c>
      <c r="I11" s="449" t="inlineStr">
        <is>
          <t>左10kg×15/DBR3；右10kg×15/DBR3；左10kg×15/DBR2；右10kg×15/DBR2；左10kg×15/DBR1；右10kg×11/DBR1；左10kg×11/DBR2；右10kg×11/DBR1</t>
        </is>
      </c>
      <c r="J11" s="449" t="inlineStr">
        <is>
          <t>正常</t>
        </is>
      </c>
      <c r="K11" s="449" t="inlineStr">
        <is>
          <t>最近一次訓練中 10 kg 有 8 組落在約 8–20 下、DBR1–3；以可重複的工作組表現優先，不直接選最高重量。</t>
        </is>
      </c>
    </row>
    <row r="12">
      <c r="A12" t="inlineStr">
        <is>
          <t>羅馬尼亞蹲</t>
        </is>
      </c>
      <c r="B12" t="n">
        <v>5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2026-08-12</t>
        </is>
      </c>
      <c r="F12" t="n">
        <v>5</v>
      </c>
      <c r="G12" t="n">
        <v>14</v>
      </c>
      <c r="H12" t="n">
        <v>0</v>
      </c>
      <c r="I12" s="449" t="inlineStr">
        <is>
          <t>左自重×15/DBR3；右自重×15/DBR3；左5kg×15/DBR2；右5kg×8/DBR0；左5kg×14/DBR0；右5kg×14/DBR0；左5kg×14/DBR0；右5kg×14/DBR0</t>
        </is>
      </c>
      <c r="J12" s="449" t="inlineStr">
        <is>
          <t>正常</t>
        </is>
      </c>
      <c r="K12" s="449" t="inlineStr">
        <is>
          <t>最近一次訓練中 5 kg 有 1 組落在約 8–20 下、DBR1–3；以可重複的工作組表現優先，不直接選最高重量。</t>
        </is>
      </c>
    </row>
    <row r="13">
      <c r="A13" t="inlineStr">
        <is>
          <t>腿內收</t>
        </is>
      </c>
      <c r="B13" t="n">
        <v>37.5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2026-09-11</t>
        </is>
      </c>
      <c r="F13" t="n">
        <v>37.5</v>
      </c>
      <c r="G13" t="n">
        <v>13</v>
      </c>
      <c r="H13" t="n">
        <v>0</v>
      </c>
      <c r="I13" s="449" t="inlineStr">
        <is>
          <t>37.5kg×13/DBR2；37.5kg×13/DBR1；37.5kg×13/DBR1；37.5kg×13/DBR0</t>
        </is>
      </c>
      <c r="J13" s="449" t="inlineStr">
        <is>
          <t>正常</t>
        </is>
      </c>
      <c r="K13" s="449" t="inlineStr">
        <is>
          <t>最近一次訓練中 37.5 kg 有 3 組落在約 8–20 下、DBR1–3；以可重複的工作組表現優先，不直接選最高重量。</t>
        </is>
      </c>
    </row>
    <row r="14">
      <c r="A14" t="inlineStr">
        <is>
          <t>腿外展</t>
        </is>
      </c>
      <c r="B14" t="n">
        <v>45</v>
      </c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2026-09-07</t>
        </is>
      </c>
      <c r="F14" t="n">
        <v>45</v>
      </c>
      <c r="G14" t="n">
        <v>15</v>
      </c>
      <c r="H14" t="n">
        <v>2</v>
      </c>
      <c r="I14" s="449" t="inlineStr">
        <is>
          <t>40.8kg×15/DBR4；48.75kg×15/DBR1；45kg×15/DBR1；45kg×12/DBR2；45kg×15/DBR2</t>
        </is>
      </c>
      <c r="J14" s="449" t="inlineStr">
        <is>
          <t>正常</t>
        </is>
      </c>
      <c r="K14" s="449" t="inlineStr">
        <is>
          <t>最近一次訓練中 45 kg 有 3 組落在約 8–20 下、DBR1–3；以可重複的工作組表現優先，不直接選最高重量。</t>
        </is>
      </c>
    </row>
    <row r="15">
      <c r="A15" t="inlineStr">
        <is>
          <t>腿後勾</t>
        </is>
      </c>
      <c r="B15" t="n">
        <v>47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2026-09-14</t>
        </is>
      </c>
      <c r="F15" t="n">
        <v>47</v>
      </c>
      <c r="G15" t="n">
        <v>12</v>
      </c>
      <c r="H15" t="n">
        <v>0</v>
      </c>
      <c r="I15" s="449" t="inlineStr">
        <is>
          <t>47kg×15/DBR2；47kg×12/DBR2；47kg×12/DBR1；47kg×12/DBR0</t>
        </is>
      </c>
      <c r="J15" s="449" t="inlineStr">
        <is>
          <t>正常</t>
        </is>
      </c>
      <c r="K15" s="449" t="inlineStr">
        <is>
          <t>最近一次訓練中 47 kg 有 3 組落在約 8–20 下、DBR1–3；以可重複的工作組表現優先，不直接選最高重量。</t>
        </is>
      </c>
    </row>
    <row r="16">
      <c r="A16" t="inlineStr">
        <is>
          <t>腿推舉</t>
        </is>
      </c>
      <c r="B16" t="n">
        <v>40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2026-08-04</t>
        </is>
      </c>
      <c r="F16" t="n">
        <v>40</v>
      </c>
      <c r="G16" t="n">
        <v>16</v>
      </c>
      <c r="H16" t="n">
        <v>0</v>
      </c>
      <c r="I16" s="449" t="inlineStr">
        <is>
          <t>40kg×16/DBR3；40kg×18/DBR2；40kg×16/DBR1；40kg×16/DBR0</t>
        </is>
      </c>
      <c r="J16" s="449" t="inlineStr">
        <is>
          <t>正常</t>
        </is>
      </c>
      <c r="K16" s="449" t="inlineStr">
        <is>
          <t>最近一次訓練中 40 kg 有 3 組落在約 8–20 下、DBR1–3；以可重複的工作組表現優先，不直接選最高重量。</t>
        </is>
      </c>
    </row>
    <row r="17">
      <c r="A17" t="inlineStr">
        <is>
          <t>臀推機</t>
        </is>
      </c>
      <c r="B17" t="inlineStr"/>
      <c r="C17" t="inlineStr">
        <is>
          <t>10–15（特殊動作可依既有表現調整）</t>
        </is>
      </c>
      <c r="D17" t="inlineStr">
        <is>
          <t>1–3；最後一組可視情況 DBR0</t>
        </is>
      </c>
      <c r="E17" t="inlineStr">
        <is>
          <t>2026-08-28</t>
        </is>
      </c>
      <c r="F17" t="n">
        <v>20</v>
      </c>
      <c r="G17" t="n">
        <v>12</v>
      </c>
      <c r="H17" t="n">
        <v>2</v>
      </c>
      <c r="I17" s="449" t="inlineStr">
        <is>
          <t>20kg×12/DBR3；20kg×12/DBR2；20kg×12/DBR2</t>
        </is>
      </c>
      <c r="J17" s="449" t="inlineStr">
        <is>
          <t>疼痛／不適：暫不自動推薦重量</t>
        </is>
      </c>
      <c r="K17" s="449" t="inlineStr">
        <is>
          <t>最近一次訓練備註出現疼痛／不適；保留歷史重量，但下次先確認無痛，不依重量基準直接加載。</t>
        </is>
      </c>
    </row>
    <row r="18">
      <c r="A18" t="inlineStr">
        <is>
          <t>蝴蝶機夾胸</t>
        </is>
      </c>
      <c r="B18" t="n">
        <v>25</v>
      </c>
      <c r="C18" t="inlineStr">
        <is>
          <t>10–15（特殊動作可依既有表現調整）</t>
        </is>
      </c>
      <c r="D18" t="inlineStr">
        <is>
          <t>1–3；最後一組可視情況 DBR0</t>
        </is>
      </c>
      <c r="E18" t="inlineStr">
        <is>
          <t>2026-08-12</t>
        </is>
      </c>
      <c r="F18" t="n">
        <v>20</v>
      </c>
      <c r="G18" t="n">
        <v>13</v>
      </c>
      <c r="H18" t="n">
        <v>0</v>
      </c>
      <c r="I18" s="449" t="inlineStr">
        <is>
          <t>25kg×15/DBR3；20kg×15/DBR0；25kg×7/DBR0；20kg×13/DBR0</t>
        </is>
      </c>
      <c r="J18" s="449" t="inlineStr">
        <is>
          <t>正常</t>
        </is>
      </c>
      <c r="K18" s="449" t="inlineStr">
        <is>
          <t>最近一次訓練中 25 kg 有 1 組落在約 8–20 下、DBR1–3；以可重複的工作組表現優先，不直接選最高重量。</t>
        </is>
      </c>
    </row>
    <row r="19">
      <c r="A19" t="inlineStr">
        <is>
          <t>飛鳥夾胸</t>
        </is>
      </c>
      <c r="B19" t="n">
        <v>20</v>
      </c>
      <c r="C19" t="inlineStr">
        <is>
          <t>10–15（特殊動作可依既有表現調整）</t>
        </is>
      </c>
      <c r="D19" t="inlineStr">
        <is>
          <t>1–3；最後一組可視情況 DBR0</t>
        </is>
      </c>
      <c r="E19" t="inlineStr">
        <is>
          <t>2026-08-28</t>
        </is>
      </c>
      <c r="F19" t="n">
        <v>20</v>
      </c>
      <c r="G19" t="n">
        <v>10</v>
      </c>
      <c r="H19" t="n">
        <v>0</v>
      </c>
      <c r="I19" s="449" t="inlineStr">
        <is>
          <t>20kg×15/DBR3；20kg×14/DBR2；20kg×12/DBR1；20kg×10/DBR0</t>
        </is>
      </c>
      <c r="J19" s="449" t="inlineStr">
        <is>
          <t>正常</t>
        </is>
      </c>
      <c r="K19" s="449" t="inlineStr">
        <is>
          <t>最近一次訓練中 20 kg 有 3 組落在約 8–20 下、DBR1–3；以可重複的工作組表現優先，不直接選最高重量。</t>
        </is>
      </c>
    </row>
  </sheetData>
  <autoFilter ref="A1:K1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2026-09-14T12:09:02Z</dcterms:modified>
</cp:coreProperties>
</file>