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>
        <v>46272</v>
      </c>
      <c r="B167" s="34" t="inlineStr">
        <is>
          <t>重訓</t>
        </is>
      </c>
      <c r="C167" s="34" t="inlineStr">
        <is>
          <t>腿後勾</t>
        </is>
      </c>
      <c r="D167" s="410" t="n">
        <v>2</v>
      </c>
      <c r="E167" s="411" t="n">
        <v>47</v>
      </c>
      <c r="F167" s="411" t="n">
        <v>15</v>
      </c>
      <c r="G167" s="411" t="n">
        <v>1</v>
      </c>
      <c r="H167" s="412">
        <f>IF(OR(E167="",F167=""),"",E167*F167)</f>
        <v/>
      </c>
      <c r="I167" s="44" t="inlineStr">
        <is>
          <t>使用者回報。</t>
        </is>
      </c>
    </row>
    <row r="168">
      <c r="A168" s="403" t="n">
        <v>46272</v>
      </c>
      <c r="B168" s="34" t="inlineStr">
        <is>
          <t>重訓</t>
        </is>
      </c>
      <c r="C168" s="34" t="inlineStr">
        <is>
          <t>腿後勾</t>
        </is>
      </c>
      <c r="D168" s="410" t="n">
        <v>3</v>
      </c>
      <c r="E168" s="411" t="n">
        <v>47</v>
      </c>
      <c r="F168" s="411" t="n">
        <v>12</v>
      </c>
      <c r="G168" s="411" t="n">
        <v>1</v>
      </c>
      <c r="H168" s="412">
        <f>IF(OR(E168="",F168=""),"",E168*F168)</f>
        <v/>
      </c>
      <c r="I168" s="44" t="inlineStr">
        <is>
          <t>使用者回報。</t>
        </is>
      </c>
    </row>
    <row r="169">
      <c r="A169" s="403" t="n">
        <v>46272</v>
      </c>
      <c r="B169" s="34" t="inlineStr">
        <is>
          <t>重訓</t>
        </is>
      </c>
      <c r="C169" s="34" t="inlineStr">
        <is>
          <t>腿後勾</t>
        </is>
      </c>
      <c r="D169" s="410" t="n">
        <v>4</v>
      </c>
      <c r="E169" s="411" t="n">
        <v>47</v>
      </c>
      <c r="F169" s="411" t="n">
        <v>13</v>
      </c>
      <c r="G169" s="411" t="n">
        <v>0</v>
      </c>
      <c r="H169" s="412">
        <f>IF(OR(E169="",F169=""),"",E169*F169)</f>
        <v/>
      </c>
      <c r="I169" s="44" t="inlineStr">
        <is>
          <t>使用者回報。</t>
        </is>
      </c>
    </row>
    <row r="170">
      <c r="A170" s="403" t="n">
        <v>46272</v>
      </c>
      <c r="B170" s="34" t="inlineStr">
        <is>
          <t>重訓</t>
        </is>
      </c>
      <c r="C170" s="34" t="inlineStr">
        <is>
          <t>腿外展</t>
        </is>
      </c>
      <c r="D170" s="410" t="n">
        <v>1</v>
      </c>
      <c r="E170" s="411" t="n">
        <v>40.8</v>
      </c>
      <c r="F170" s="411" t="n">
        <v>15</v>
      </c>
      <c r="G170" s="411" t="n">
        <v>4</v>
      </c>
      <c r="H170" s="412">
        <f>IF(OR(E170="",F170=""),"",E170*F170)</f>
        <v/>
      </c>
      <c r="I170" s="44" t="inlineStr">
        <is>
          <t>使用者回報。</t>
        </is>
      </c>
    </row>
    <row r="171">
      <c r="A171" s="403" t="n">
        <v>46272</v>
      </c>
      <c r="B171" s="34" t="inlineStr">
        <is>
          <t>重訓</t>
        </is>
      </c>
      <c r="C171" s="34" t="inlineStr">
        <is>
          <t>腿外展</t>
        </is>
      </c>
      <c r="D171" s="410" t="n">
        <v>2</v>
      </c>
      <c r="E171" s="411" t="n">
        <v>48.75</v>
      </c>
      <c r="F171" s="411" t="n">
        <v>15</v>
      </c>
      <c r="G171" s="411" t="n">
        <v>1</v>
      </c>
      <c r="H171" s="412">
        <f>IF(OR(E171="",F171=""),"",E171*F171)</f>
        <v/>
      </c>
      <c r="I171" s="44" t="inlineStr">
        <is>
          <t>使用者回報。</t>
        </is>
      </c>
    </row>
    <row r="172">
      <c r="A172" s="403" t="n">
        <v>46272</v>
      </c>
      <c r="B172" s="34" t="inlineStr">
        <is>
          <t>重訓</t>
        </is>
      </c>
      <c r="C172" s="34" t="inlineStr">
        <is>
          <t>腿外展</t>
        </is>
      </c>
      <c r="D172" s="410" t="n">
        <v>3</v>
      </c>
      <c r="E172" s="411" t="n">
        <v>45</v>
      </c>
      <c r="F172" s="411" t="n">
        <v>15</v>
      </c>
      <c r="G172" s="411" t="n">
        <v>1</v>
      </c>
      <c r="H172" s="412">
        <f>IF(OR(E172="",F172=""),"",E172*F172)</f>
        <v/>
      </c>
      <c r="I172" s="44" t="inlineStr">
        <is>
          <t>使用者回報。</t>
        </is>
      </c>
    </row>
    <row r="173">
      <c r="A173" s="403" t="n">
        <v>46272</v>
      </c>
      <c r="B173" s="34" t="inlineStr">
        <is>
          <t>重訓</t>
        </is>
      </c>
      <c r="C173" s="34" t="inlineStr">
        <is>
          <t>腿外展</t>
        </is>
      </c>
      <c r="D173" s="410" t="n">
        <v>4</v>
      </c>
      <c r="E173" s="411" t="n">
        <v>45</v>
      </c>
      <c r="F173" s="411" t="n">
        <v>12</v>
      </c>
      <c r="G173" s="411" t="n">
        <v>2</v>
      </c>
      <c r="H173" s="412">
        <f>IF(OR(E173="",F173=""),"",E173*F173)</f>
        <v/>
      </c>
      <c r="I173" s="44" t="inlineStr">
        <is>
          <t>使用者回報。</t>
        </is>
      </c>
    </row>
    <row r="174">
      <c r="A174" s="403" t="n">
        <v>46272</v>
      </c>
      <c r="B174" s="34" t="inlineStr">
        <is>
          <t>重訓</t>
        </is>
      </c>
      <c r="C174" s="34" t="inlineStr">
        <is>
          <t>腿外展</t>
        </is>
      </c>
      <c r="D174" s="410" t="n">
        <v>5</v>
      </c>
      <c r="E174" s="411" t="n">
        <v>45</v>
      </c>
      <c r="F174" s="411" t="n">
        <v>15</v>
      </c>
      <c r="G174" s="411" t="n">
        <v>2</v>
      </c>
      <c r="H174" s="412">
        <f>IF(OR(E174="",F174=""),"",E174*F174)</f>
        <v/>
      </c>
      <c r="I174" s="44" t="inlineStr">
        <is>
          <t>使用者追加回報。</t>
        </is>
      </c>
    </row>
    <row r="175">
      <c r="A175" s="403" t="n">
        <v>46272</v>
      </c>
      <c r="B175" s="34" t="inlineStr">
        <is>
          <t>重訓</t>
        </is>
      </c>
      <c r="C175" s="34" t="inlineStr">
        <is>
          <t>啞鈴側平舉</t>
        </is>
      </c>
      <c r="D175" s="410" t="n">
        <v>1</v>
      </c>
      <c r="E175" s="411" t="n">
        <v>10</v>
      </c>
      <c r="F175" s="411" t="n">
        <v>15</v>
      </c>
      <c r="G175" s="411" t="n">
        <v>1</v>
      </c>
      <c r="H175" s="412">
        <f>IF(OR(E175="",F175=""),"",E175*F175)</f>
        <v/>
      </c>
      <c r="I175" s="44" t="inlineStr">
        <is>
          <t>使用者回報。</t>
        </is>
      </c>
    </row>
    <row r="176">
      <c r="A176" s="403" t="n">
        <v>46272</v>
      </c>
      <c r="B176" s="34" t="inlineStr">
        <is>
          <t>重訓</t>
        </is>
      </c>
      <c r="C176" s="34" t="inlineStr">
        <is>
          <t>啞鈴側平舉</t>
        </is>
      </c>
      <c r="D176" s="410" t="n">
        <v>2</v>
      </c>
      <c r="E176" s="411" t="n">
        <v>10</v>
      </c>
      <c r="F176" s="411" t="n">
        <v>13</v>
      </c>
      <c r="G176" s="411" t="n">
        <v>1</v>
      </c>
      <c r="H176" s="412">
        <f>IF(OR(E176="",F176=""),"",E176*F176)</f>
        <v/>
      </c>
      <c r="I176" s="44" t="inlineStr">
        <is>
          <t>重量未重複提供，沿用上一組 10 kg。</t>
        </is>
      </c>
    </row>
    <row r="177">
      <c r="A177" s="403" t="n">
        <v>46272</v>
      </c>
      <c r="B177" s="34" t="inlineStr">
        <is>
          <t>重訓</t>
        </is>
      </c>
      <c r="C177" s="34" t="inlineStr">
        <is>
          <t>啞鈴側平舉</t>
        </is>
      </c>
      <c r="D177" s="410" t="n">
        <v>3</v>
      </c>
      <c r="E177" s="411" t="n">
        <v>10</v>
      </c>
      <c r="F177" s="411" t="n">
        <v>14</v>
      </c>
      <c r="G177" s="411" t="n">
        <v>1</v>
      </c>
      <c r="H177" s="412">
        <f>IF(OR(E177="",F177=""),"",E177*F177)</f>
        <v/>
      </c>
      <c r="I177" s="44" t="inlineStr">
        <is>
          <t>重量未重複提供，沿用上一組 10 kg。</t>
        </is>
      </c>
    </row>
    <row r="178">
      <c r="A178" s="403" t="n">
        <v>46272</v>
      </c>
      <c r="B178" s="34" t="inlineStr">
        <is>
          <t>重訓</t>
        </is>
      </c>
      <c r="C178" s="34" t="inlineStr">
        <is>
          <t>啞鈴側平舉</t>
        </is>
      </c>
      <c r="D178" s="410" t="n">
        <v>4</v>
      </c>
      <c r="E178" s="411" t="n">
        <v>10</v>
      </c>
      <c r="F178" s="411" t="n">
        <v>15</v>
      </c>
      <c r="G178" s="411" t="n">
        <v>0</v>
      </c>
      <c r="H178" s="412">
        <f>IF(OR(E178="",F178=""),"",E178*F178)</f>
        <v/>
      </c>
      <c r="I178" s="44" t="inlineStr">
        <is>
          <t>重量未重複提供，沿用上一組 10 kg。</t>
        </is>
      </c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6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  <row r="223">
      <c r="A223" s="441" t="n">
        <v>46272</v>
      </c>
      <c r="B223" s="42" t="inlineStr">
        <is>
          <t>午餐</t>
        </is>
      </c>
      <c r="C223" s="36" t="inlineStr">
        <is>
          <t>使用者回報</t>
        </is>
      </c>
      <c r="D223" s="45" t="inlineStr">
        <is>
          <t>未進食</t>
        </is>
      </c>
      <c r="E223" s="45" t="n">
        <v>0</v>
      </c>
      <c r="F223" s="45" t="n">
        <v>0</v>
      </c>
      <c r="G223" s="45" t="inlineStr">
        <is>
          <t>使用者回報午餐沒吃。</t>
        </is>
      </c>
      <c r="H223" s="45" t="n">
        <v>0</v>
      </c>
    </row>
    <row r="224">
      <c r="A224" s="441" t="n">
        <v>46273</v>
      </c>
      <c r="B224" s="42" t="inlineStr">
        <is>
          <t>早餐</t>
        </is>
      </c>
      <c r="C224" s="36" t="inlineStr">
        <is>
          <t>使用者回報＋既有估算</t>
        </is>
      </c>
      <c r="D224" s="45" t="inlineStr">
        <is>
          <t>7-ELEVEN 30元地瓜</t>
        </is>
      </c>
      <c r="E224" s="45" t="n">
        <v>2.3</v>
      </c>
      <c r="F224" s="45" t="n">
        <v>162</v>
      </c>
      <c r="G224" s="45" t="inlineStr">
        <is>
          <t>沿用 2026-09-07 同款 7-ELEVEN 30元地瓜估算：以約145g計，約蛋白質2.3g、碳水37.7g、162 kcal。</t>
        </is>
      </c>
      <c r="H224" s="45" t="n">
        <v>37.7</v>
      </c>
    </row>
    <row r="225">
      <c r="A225" s="441" t="n">
        <v>46273</v>
      </c>
      <c r="B225" s="42" t="inlineStr">
        <is>
          <t>早餐</t>
        </is>
      </c>
      <c r="C225" s="36" t="inlineStr">
        <is>
          <t>使用者回報＋既有同款紀錄</t>
        </is>
      </c>
      <c r="D225" s="45" t="inlineStr">
        <is>
          <t>7-ELEVEN 21Plus 剝皮辣椒雞胸肉 1 包（145g）</t>
        </is>
      </c>
      <c r="E225" s="45" t="n">
        <v>30</v>
      </c>
      <c r="F225" s="45" t="n">
        <v>163</v>
      </c>
      <c r="G225" s="45" t="inlineStr">
        <is>
          <t>沿用追蹤表先前同款紀錄：約蛋白質30g、163 kcal；未取得可靠碳水標示，因此碳水留白。</t>
        </is>
      </c>
      <c r="H225" s="45" t="inlineStr"/>
    </row>
    <row r="226">
      <c r="A226" s="441" t="n">
        <v>46273</v>
      </c>
      <c r="B226" s="42" t="inlineStr">
        <is>
          <t>早餐</t>
        </is>
      </c>
      <c r="C226" s="36" t="inlineStr">
        <is>
          <t>使用者回報</t>
        </is>
      </c>
      <c r="D226" s="45" t="inlineStr">
        <is>
          <t>額外蛋白質 26g</t>
        </is>
      </c>
      <c r="E226" s="45" t="n">
        <v>26</v>
      </c>
      <c r="F226" s="45" t="inlineStr"/>
      <c r="G226" s="45" t="inlineStr">
        <is>
          <t>使用者回報早餐另外攝取26g蛋白質；未提供來源、品牌、熱量或碳水，因此僅記錄蛋白質。</t>
        </is>
      </c>
      <c r="H226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2026-09-07</t>
        </is>
      </c>
      <c r="F2" t="n">
        <v>20</v>
      </c>
      <c r="G2" t="n">
        <v>13</v>
      </c>
      <c r="H2" t="n">
        <v>2</v>
      </c>
      <c r="I2" s="449" t="inlineStr">
        <is>
          <t>25kg×15/DBR2；25kg×14/DBR2；15kg×11/DBR2；20kg×13/DBR2</t>
        </is>
      </c>
      <c r="J2" s="449" t="inlineStr">
        <is>
          <t>正常</t>
        </is>
      </c>
      <c r="K2" s="449" t="inlineStr">
        <is>
          <t>最近一次訓練中 25 kg 有 2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2026-09-07</t>
        </is>
      </c>
      <c r="F3" t="n">
        <v>30</v>
      </c>
      <c r="G3" t="n">
        <v>13</v>
      </c>
      <c r="H3" t="n">
        <v>0</v>
      </c>
      <c r="I3" s="449" t="inlineStr">
        <is>
          <t>26.5kg×15/DBR4；26.5kg×15/DBR2；30kg×13/DBR2；30kg×13/DBR0；30kg×13/DBR0</t>
        </is>
      </c>
      <c r="J3" s="449" t="inlineStr">
        <is>
          <t>正常</t>
        </is>
      </c>
      <c r="K3" s="449" t="inlineStr">
        <is>
          <t>最近一次訓練中 26.5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2026-09-05</t>
        </is>
      </c>
      <c r="F4" t="n">
        <v>15</v>
      </c>
      <c r="G4" t="n">
        <v>12</v>
      </c>
      <c r="H4" t="n">
        <v>0</v>
      </c>
      <c r="I4" s="449" t="inlineStr">
        <is>
          <t>20kg×8/DBR1；15kg×11/DBR1；15kg×12/DBR0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2026-09-07</t>
        </is>
      </c>
      <c r="F5" t="n">
        <v>10</v>
      </c>
      <c r="G5" t="n">
        <v>15</v>
      </c>
      <c r="H5" t="n">
        <v>0</v>
      </c>
      <c r="I5" s="449" t="inlineStr">
        <is>
          <t>10kg×15/DBR1；10kg×13/DBR1；10kg×14/DBR1；10kg×15/DBR0</t>
        </is>
      </c>
      <c r="J5" s="449" t="inlineStr">
        <is>
          <t>正常</t>
        </is>
      </c>
      <c r="K5" s="449" t="inlineStr">
        <is>
          <t>最近一次訓練中 10 kg 有 3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37.5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2026-09-05</t>
        </is>
      </c>
      <c r="F6" t="n">
        <v>37.5</v>
      </c>
      <c r="G6" t="n">
        <v>12</v>
      </c>
      <c r="H6" t="n">
        <v>1</v>
      </c>
      <c r="I6" s="449" t="inlineStr">
        <is>
          <t>30kg×15/DBR4；37.5kg×14/DBR2；37.5kg×12/DBR2；37.5kg×12/DBR1</t>
        </is>
      </c>
      <c r="J6" s="449" t="inlineStr">
        <is>
          <t>正常</t>
        </is>
      </c>
      <c r="K6" s="449" t="inlineStr">
        <is>
          <t>最近一次訓練中 37.5 kg 有 3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10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2026-09-05</t>
        </is>
      </c>
      <c r="F8" t="n">
        <v>10</v>
      </c>
      <c r="G8" t="n">
        <v>11</v>
      </c>
      <c r="H8" t="n">
        <v>1</v>
      </c>
      <c r="I8" s="449" t="inlineStr">
        <is>
          <t>左10kg×15/DBR3；右10kg×15/DBR3；左10kg×15/DBR2；右10kg×15/DBR2；左10kg×15/DBR1；右10kg×11/DBR1；左10kg×11/DBR2；右10kg×11/DBR1</t>
        </is>
      </c>
      <c r="J8" s="449" t="inlineStr">
        <is>
          <t>正常</t>
        </is>
      </c>
      <c r="K8" s="449" t="inlineStr">
        <is>
          <t>最近一次訓練中 10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2026-09-05</t>
        </is>
      </c>
      <c r="F10" t="n">
        <v>37.5</v>
      </c>
      <c r="G10" t="n">
        <v>15</v>
      </c>
      <c r="H10" t="n">
        <v>0</v>
      </c>
      <c r="I10" s="449" t="inlineStr">
        <is>
          <t>37.5kg×13/DBR2；37.5kg×14/DBR2；37.5kg×15/DBR0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45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2026-09-07</t>
        </is>
      </c>
      <c r="F11" t="n">
        <v>45</v>
      </c>
      <c r="G11" t="n">
        <v>15</v>
      </c>
      <c r="H11" t="n">
        <v>2</v>
      </c>
      <c r="I11" s="449" t="inlineStr">
        <is>
          <t>40.8kg×15/DBR4；48.75kg×15/DBR1；45kg×15/DBR1；45kg×12/DBR2；45kg×15/DBR2</t>
        </is>
      </c>
      <c r="J11" s="449" t="inlineStr">
        <is>
          <t>正常</t>
        </is>
      </c>
      <c r="K11" s="449" t="inlineStr">
        <is>
          <t>最近一次訓練中 45 kg 有 3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47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2026-09-07</t>
        </is>
      </c>
      <c r="F12" t="n">
        <v>47</v>
      </c>
      <c r="G12" t="n">
        <v>13</v>
      </c>
      <c r="H12" t="n">
        <v>0</v>
      </c>
      <c r="I12" s="449" t="inlineStr">
        <is>
          <t>40kg×15/DBR3；47kg×15/DBR1；47kg×12/DBR1；47kg×13/DBR0</t>
        </is>
      </c>
      <c r="J12" s="449" t="inlineStr">
        <is>
          <t>正常</t>
        </is>
      </c>
      <c r="K12" s="449" t="inlineStr">
        <is>
          <t>最近一次訓練中 47 kg 有 2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2026-09-07T23:20:06Z</dcterms:modified>
</cp:coreProperties>
</file>