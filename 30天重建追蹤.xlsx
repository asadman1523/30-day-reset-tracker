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'動作基準'!$A$1:$K$17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>
        <v>46272</v>
      </c>
      <c r="B163" s="34" t="inlineStr">
        <is>
          <t>重訓</t>
        </is>
      </c>
      <c r="C163" s="34" t="inlineStr">
        <is>
          <t>划船</t>
        </is>
      </c>
      <c r="D163" s="410" t="n">
        <v>3</v>
      </c>
      <c r="E163" s="411" t="n">
        <v>30</v>
      </c>
      <c r="F163" s="411" t="n">
        <v>13</v>
      </c>
      <c r="G163" s="411" t="n">
        <v>2</v>
      </c>
      <c r="H163" s="412">
        <f>IF(OR(E163="",F163=""),"",E163*F163)</f>
        <v/>
      </c>
      <c r="I163" s="44" t="inlineStr">
        <is>
          <t>使用者回報。</t>
        </is>
      </c>
    </row>
    <row r="164">
      <c r="A164" s="403" t="n">
        <v>46272</v>
      </c>
      <c r="B164" s="34" t="inlineStr">
        <is>
          <t>重訓</t>
        </is>
      </c>
      <c r="C164" s="34" t="inlineStr">
        <is>
          <t>划船</t>
        </is>
      </c>
      <c r="D164" s="410" t="n">
        <v>4</v>
      </c>
      <c r="E164" s="411" t="n">
        <v>30</v>
      </c>
      <c r="F164" s="411" t="n">
        <v>13</v>
      </c>
      <c r="G164" s="411" t="n">
        <v>0</v>
      </c>
      <c r="H164" s="412">
        <f>IF(OR(E164="",F164=""),"",E164*F164)</f>
        <v/>
      </c>
      <c r="I164" s="44" t="inlineStr">
        <is>
          <t>使用者回報。</t>
        </is>
      </c>
    </row>
    <row r="165">
      <c r="A165" s="403" t="n">
        <v>46272</v>
      </c>
      <c r="B165" s="34" t="inlineStr">
        <is>
          <t>重訓</t>
        </is>
      </c>
      <c r="C165" s="34" t="inlineStr">
        <is>
          <t>划船</t>
        </is>
      </c>
      <c r="D165" s="410" t="n">
        <v>5</v>
      </c>
      <c r="E165" s="411" t="n">
        <v>30</v>
      </c>
      <c r="F165" s="411" t="n">
        <v>13</v>
      </c>
      <c r="G165" s="411" t="n">
        <v>0</v>
      </c>
      <c r="H165" s="412">
        <f>IF(OR(E165="",F165=""),"",E165*F165)</f>
        <v/>
      </c>
      <c r="I165" s="44" t="inlineStr">
        <is>
          <t>使用者補充：還有一組 30kg × 13，DBR0。</t>
        </is>
      </c>
    </row>
    <row r="166">
      <c r="A166" s="403" t="n">
        <v>46272</v>
      </c>
      <c r="B166" s="34" t="inlineStr">
        <is>
          <t>重訓</t>
        </is>
      </c>
      <c r="C166" s="34" t="inlineStr">
        <is>
          <t>腿後勾</t>
        </is>
      </c>
      <c r="D166" s="410" t="n">
        <v>1</v>
      </c>
      <c r="E166" s="411" t="n">
        <v>40</v>
      </c>
      <c r="F166" s="411" t="n">
        <v>15</v>
      </c>
      <c r="G166" s="411" t="n">
        <v>3</v>
      </c>
      <c r="H166" s="412">
        <f>IF(OR(E166="",F166=""),"",E166*F166)</f>
        <v/>
      </c>
      <c r="I166" s="44" t="inlineStr">
        <is>
          <t>使用者回報。</t>
        </is>
      </c>
    </row>
    <row r="167">
      <c r="A167" s="403" t="n">
        <v>46272</v>
      </c>
      <c r="B167" s="34" t="inlineStr">
        <is>
          <t>重訓</t>
        </is>
      </c>
      <c r="C167" s="34" t="inlineStr">
        <is>
          <t>腿後勾</t>
        </is>
      </c>
      <c r="D167" s="410" t="n">
        <v>2</v>
      </c>
      <c r="E167" s="411" t="n">
        <v>47</v>
      </c>
      <c r="F167" s="411" t="n">
        <v>15</v>
      </c>
      <c r="G167" s="411" t="n">
        <v>1</v>
      </c>
      <c r="H167" s="412">
        <f>IF(OR(E167="",F167=""),"",E167*F167)</f>
        <v/>
      </c>
      <c r="I167" s="44" t="inlineStr">
        <is>
          <t>使用者回報。</t>
        </is>
      </c>
    </row>
    <row r="168">
      <c r="A168" s="403" t="n">
        <v>46272</v>
      </c>
      <c r="B168" s="34" t="inlineStr">
        <is>
          <t>重訓</t>
        </is>
      </c>
      <c r="C168" s="34" t="inlineStr">
        <is>
          <t>腿後勾</t>
        </is>
      </c>
      <c r="D168" s="410" t="n">
        <v>3</v>
      </c>
      <c r="E168" s="411" t="n">
        <v>47</v>
      </c>
      <c r="F168" s="411" t="n">
        <v>12</v>
      </c>
      <c r="G168" s="411" t="n">
        <v>1</v>
      </c>
      <c r="H168" s="412">
        <f>IF(OR(E168="",F168=""),"",E168*F168)</f>
        <v/>
      </c>
      <c r="I168" s="44" t="inlineStr">
        <is>
          <t>使用者回報。</t>
        </is>
      </c>
    </row>
    <row r="169">
      <c r="A169" s="403" t="n">
        <v>46272</v>
      </c>
      <c r="B169" s="34" t="inlineStr">
        <is>
          <t>重訓</t>
        </is>
      </c>
      <c r="C169" s="34" t="inlineStr">
        <is>
          <t>腿後勾</t>
        </is>
      </c>
      <c r="D169" s="410" t="n">
        <v>4</v>
      </c>
      <c r="E169" s="411" t="n">
        <v>47</v>
      </c>
      <c r="F169" s="411" t="n">
        <v>13</v>
      </c>
      <c r="G169" s="411" t="n">
        <v>0</v>
      </c>
      <c r="H169" s="412">
        <f>IF(OR(E169="",F169=""),"",E169*F169)</f>
        <v/>
      </c>
      <c r="I169" s="44" t="inlineStr">
        <is>
          <t>使用者回報。</t>
        </is>
      </c>
    </row>
    <row r="170">
      <c r="A170" s="403" t="n">
        <v>46272</v>
      </c>
      <c r="B170" s="34" t="inlineStr">
        <is>
          <t>重訓</t>
        </is>
      </c>
      <c r="C170" s="34" t="inlineStr">
        <is>
          <t>腿外展</t>
        </is>
      </c>
      <c r="D170" s="410" t="n">
        <v>1</v>
      </c>
      <c r="E170" s="411" t="n">
        <v>40.8</v>
      </c>
      <c r="F170" s="411" t="n">
        <v>15</v>
      </c>
      <c r="G170" s="411" t="n">
        <v>4</v>
      </c>
      <c r="H170" s="412">
        <f>IF(OR(E170="",F170=""),"",E170*F170)</f>
        <v/>
      </c>
      <c r="I170" s="44" t="inlineStr">
        <is>
          <t>使用者回報。</t>
        </is>
      </c>
    </row>
    <row r="171">
      <c r="A171" s="403" t="n">
        <v>46272</v>
      </c>
      <c r="B171" s="34" t="inlineStr">
        <is>
          <t>重訓</t>
        </is>
      </c>
      <c r="C171" s="34" t="inlineStr">
        <is>
          <t>腿外展</t>
        </is>
      </c>
      <c r="D171" s="410" t="n">
        <v>2</v>
      </c>
      <c r="E171" s="411" t="n">
        <v>48.75</v>
      </c>
      <c r="F171" s="411" t="n">
        <v>15</v>
      </c>
      <c r="G171" s="411" t="n">
        <v>1</v>
      </c>
      <c r="H171" s="412">
        <f>IF(OR(E171="",F171=""),"",E171*F171)</f>
        <v/>
      </c>
      <c r="I171" s="44" t="inlineStr">
        <is>
          <t>使用者回報。</t>
        </is>
      </c>
    </row>
    <row r="172">
      <c r="A172" s="403" t="n">
        <v>46272</v>
      </c>
      <c r="B172" s="34" t="inlineStr">
        <is>
          <t>重訓</t>
        </is>
      </c>
      <c r="C172" s="34" t="inlineStr">
        <is>
          <t>腿外展</t>
        </is>
      </c>
      <c r="D172" s="410" t="n">
        <v>3</v>
      </c>
      <c r="E172" s="411" t="n">
        <v>45</v>
      </c>
      <c r="F172" s="411" t="n">
        <v>15</v>
      </c>
      <c r="G172" s="411" t="n">
        <v>1</v>
      </c>
      <c r="H172" s="412">
        <f>IF(OR(E172="",F172=""),"",E172*F172)</f>
        <v/>
      </c>
      <c r="I172" s="44" t="inlineStr">
        <is>
          <t>使用者回報。</t>
        </is>
      </c>
    </row>
    <row r="173">
      <c r="A173" s="403" t="n">
        <v>46272</v>
      </c>
      <c r="B173" s="34" t="inlineStr">
        <is>
          <t>重訓</t>
        </is>
      </c>
      <c r="C173" s="34" t="inlineStr">
        <is>
          <t>腿外展</t>
        </is>
      </c>
      <c r="D173" s="410" t="n">
        <v>4</v>
      </c>
      <c r="E173" s="411" t="n">
        <v>45</v>
      </c>
      <c r="F173" s="411" t="n">
        <v>12</v>
      </c>
      <c r="G173" s="411" t="n">
        <v>2</v>
      </c>
      <c r="H173" s="412">
        <f>IF(OR(E173="",F173=""),"",E173*F173)</f>
        <v/>
      </c>
      <c r="I173" s="44" t="inlineStr">
        <is>
          <t>使用者回報。</t>
        </is>
      </c>
    </row>
    <row r="174">
      <c r="A174" s="403" t="n">
        <v>46272</v>
      </c>
      <c r="B174" s="34" t="inlineStr">
        <is>
          <t>重訓</t>
        </is>
      </c>
      <c r="C174" s="34" t="inlineStr">
        <is>
          <t>腿外展</t>
        </is>
      </c>
      <c r="D174" s="410" t="n">
        <v>5</v>
      </c>
      <c r="E174" s="411" t="n">
        <v>45</v>
      </c>
      <c r="F174" s="411" t="n">
        <v>15</v>
      </c>
      <c r="G174" s="411" t="n">
        <v>2</v>
      </c>
      <c r="H174" s="412">
        <f>IF(OR(E174="",F174=""),"",E174*F174)</f>
        <v/>
      </c>
      <c r="I174" s="44" t="inlineStr">
        <is>
          <t>使用者追加回報。</t>
        </is>
      </c>
    </row>
    <row r="175">
      <c r="A175" s="403" t="n">
        <v>46272</v>
      </c>
      <c r="B175" s="34" t="inlineStr">
        <is>
          <t>重訓</t>
        </is>
      </c>
      <c r="C175" s="34" t="inlineStr">
        <is>
          <t>啞鈴側平舉</t>
        </is>
      </c>
      <c r="D175" s="410" t="n">
        <v>1</v>
      </c>
      <c r="E175" s="411" t="n">
        <v>10</v>
      </c>
      <c r="F175" s="411" t="n">
        <v>15</v>
      </c>
      <c r="G175" s="411" t="n">
        <v>1</v>
      </c>
      <c r="H175" s="412">
        <f>IF(OR(E175="",F175=""),"",E175*F175)</f>
        <v/>
      </c>
      <c r="I175" s="44" t="inlineStr">
        <is>
          <t>使用者回報。</t>
        </is>
      </c>
    </row>
    <row r="176">
      <c r="A176" s="403" t="n">
        <v>46272</v>
      </c>
      <c r="B176" s="34" t="inlineStr">
        <is>
          <t>重訓</t>
        </is>
      </c>
      <c r="C176" s="34" t="inlineStr">
        <is>
          <t>啞鈴側平舉</t>
        </is>
      </c>
      <c r="D176" s="410" t="n">
        <v>2</v>
      </c>
      <c r="E176" s="411" t="n">
        <v>10</v>
      </c>
      <c r="F176" s="411" t="n">
        <v>13</v>
      </c>
      <c r="G176" s="411" t="n">
        <v>1</v>
      </c>
      <c r="H176" s="412">
        <f>IF(OR(E176="",F176=""),"",E176*F176)</f>
        <v/>
      </c>
      <c r="I176" s="44" t="inlineStr">
        <is>
          <t>重量未重複提供，沿用上一組 10 kg。</t>
        </is>
      </c>
    </row>
    <row r="177">
      <c r="A177" s="403" t="n">
        <v>46272</v>
      </c>
      <c r="B177" s="34" t="inlineStr">
        <is>
          <t>重訓</t>
        </is>
      </c>
      <c r="C177" s="34" t="inlineStr">
        <is>
          <t>啞鈴側平舉</t>
        </is>
      </c>
      <c r="D177" s="410" t="n">
        <v>3</v>
      </c>
      <c r="E177" s="411" t="n">
        <v>10</v>
      </c>
      <c r="F177" s="411" t="n">
        <v>14</v>
      </c>
      <c r="G177" s="411" t="n">
        <v>1</v>
      </c>
      <c r="H177" s="412">
        <f>IF(OR(E177="",F177=""),"",E177*F177)</f>
        <v/>
      </c>
      <c r="I177" s="44" t="inlineStr">
        <is>
          <t>重量未重複提供，沿用上一組 10 kg。</t>
        </is>
      </c>
    </row>
    <row r="178">
      <c r="A178" s="403" t="n">
        <v>46272</v>
      </c>
      <c r="B178" s="34" t="inlineStr">
        <is>
          <t>重訓</t>
        </is>
      </c>
      <c r="C178" s="34" t="inlineStr">
        <is>
          <t>啞鈴側平舉</t>
        </is>
      </c>
      <c r="D178" s="410" t="n">
        <v>4</v>
      </c>
      <c r="E178" s="411" t="n">
        <v>10</v>
      </c>
      <c r="F178" s="411" t="n">
        <v>15</v>
      </c>
      <c r="G178" s="411" t="n">
        <v>0</v>
      </c>
      <c r="H178" s="412">
        <f>IF(OR(E178="",F178=""),"",E178*F178)</f>
        <v/>
      </c>
      <c r="I178" s="44" t="inlineStr">
        <is>
          <t>重量未重複提供，沿用上一組 10 kg。</t>
        </is>
      </c>
    </row>
    <row r="179">
      <c r="A179" s="403" t="n">
        <v>46276</v>
      </c>
      <c r="B179" s="34" t="inlineStr">
        <is>
          <t>重訓</t>
        </is>
      </c>
      <c r="C179" s="34" t="inlineStr">
        <is>
          <t>保加利亞分腿蹲</t>
        </is>
      </c>
      <c r="D179" s="410" t="n">
        <v>1</v>
      </c>
      <c r="E179" s="411" t="n">
        <v>10</v>
      </c>
      <c r="F179" s="411" t="n">
        <v>15</v>
      </c>
      <c r="G179" s="411" t="n">
        <v>2</v>
      </c>
      <c r="H179" s="412">
        <f>IF(OR(E179="",F179=""),"",E179*F179)</f>
        <v/>
      </c>
      <c r="I179" s="44" t="inlineStr">
        <is>
          <t>左腳；每手 5 kg，兩手總負重 10 kg。</t>
        </is>
      </c>
    </row>
    <row r="180">
      <c r="A180" s="403" t="n">
        <v>46276</v>
      </c>
      <c r="B180" s="34" t="inlineStr">
        <is>
          <t>重訓</t>
        </is>
      </c>
      <c r="C180" s="34" t="inlineStr">
        <is>
          <t>保加利亞分腿蹲</t>
        </is>
      </c>
      <c r="D180" s="410" t="n">
        <v>2</v>
      </c>
      <c r="E180" s="411" t="n">
        <v>10</v>
      </c>
      <c r="F180" s="411" t="n">
        <v>15</v>
      </c>
      <c r="G180" s="411" t="n">
        <v>2</v>
      </c>
      <c r="H180" s="412">
        <f>IF(OR(E180="",F180=""),"",E180*F180)</f>
        <v/>
      </c>
      <c r="I180" s="44" t="inlineStr">
        <is>
          <t>右腳；每手 5 kg，兩手總負重 10 kg。使用者更正：第一條回報代表左右腳都完成 15 下 DBR2。</t>
        </is>
      </c>
    </row>
    <row r="181">
      <c r="A181" s="403" t="n">
        <v>46276</v>
      </c>
      <c r="B181" s="34" t="inlineStr">
        <is>
          <t>重訓</t>
        </is>
      </c>
      <c r="C181" s="34" t="inlineStr">
        <is>
          <t>保加利亞分腿蹲</t>
        </is>
      </c>
      <c r="D181" s="410" t="n">
        <v>3</v>
      </c>
      <c r="E181" s="411" t="n">
        <v>10</v>
      </c>
      <c r="F181" s="411" t="n">
        <v>12</v>
      </c>
      <c r="G181" s="411" t="n">
        <v>2</v>
      </c>
      <c r="H181" s="412">
        <f>IF(OR(E181="",F181=""),"",E181*F181)</f>
        <v/>
      </c>
      <c r="I181" s="44" t="inlineStr">
        <is>
          <t>左腳；每手 5 kg，兩手總負重 10 kg。第二條回報代表左右腳都完成 12 下 DBR2。</t>
        </is>
      </c>
    </row>
    <row r="182">
      <c r="A182" s="403" t="n">
        <v>46276</v>
      </c>
      <c r="B182" s="34" t="inlineStr">
        <is>
          <t>重訓</t>
        </is>
      </c>
      <c r="C182" s="34" t="inlineStr">
        <is>
          <t>保加利亞分腿蹲</t>
        </is>
      </c>
      <c r="D182" s="410" t="n">
        <v>4</v>
      </c>
      <c r="E182" s="411" t="n">
        <v>10</v>
      </c>
      <c r="F182" s="411" t="n">
        <v>12</v>
      </c>
      <c r="G182" s="411" t="n">
        <v>2</v>
      </c>
      <c r="H182" s="412">
        <f>IF(OR(E182="",F182=""),"",E182*F182)</f>
        <v/>
      </c>
      <c r="I182" s="44" t="inlineStr">
        <is>
          <t>右腳；每手 5 kg，兩手總負重 10 kg。第二條回報代表左右腳都完成 12 下 DBR2。</t>
        </is>
      </c>
    </row>
    <row r="183">
      <c r="A183" s="403" t="n">
        <v>46276</v>
      </c>
      <c r="B183" s="34" t="inlineStr">
        <is>
          <t>重訓</t>
        </is>
      </c>
      <c r="C183" s="34" t="inlineStr">
        <is>
          <t>保加利亞分腿蹲</t>
        </is>
      </c>
      <c r="D183" s="410" t="n">
        <v>5</v>
      </c>
      <c r="E183" s="411" t="n">
        <v>10</v>
      </c>
      <c r="F183" s="411" t="n">
        <v>13</v>
      </c>
      <c r="G183" s="411" t="n">
        <v>2</v>
      </c>
      <c r="H183" s="412">
        <f>IF(OR(E183="",F183=""),"",E183*F183)</f>
        <v/>
      </c>
      <c r="I183" s="44" t="inlineStr">
        <is>
          <t>左腳；每手 5 kg，兩手總負重 10 kg。</t>
        </is>
      </c>
    </row>
    <row r="184">
      <c r="A184" s="403" t="n">
        <v>46276</v>
      </c>
      <c r="B184" s="34" t="inlineStr">
        <is>
          <t>重訓</t>
        </is>
      </c>
      <c r="C184" s="34" t="inlineStr">
        <is>
          <t>保加利亞分腿蹲</t>
        </is>
      </c>
      <c r="D184" s="410" t="n">
        <v>6</v>
      </c>
      <c r="E184" s="411" t="n">
        <v>10</v>
      </c>
      <c r="F184" s="411" t="n">
        <v>10</v>
      </c>
      <c r="G184" s="411" t="n">
        <v>2</v>
      </c>
      <c r="H184" s="412">
        <f>IF(OR(E184="",F184=""),"",E184*F184)</f>
        <v/>
      </c>
      <c r="I184" s="44" t="inlineStr">
        <is>
          <t>右腳；每手 5 kg，兩手總負重 10 kg。</t>
        </is>
      </c>
    </row>
    <row r="185">
      <c r="A185" s="403" t="n">
        <v>46276</v>
      </c>
      <c r="B185" s="34" t="inlineStr">
        <is>
          <t>重訓</t>
        </is>
      </c>
      <c r="C185" s="34" t="inlineStr">
        <is>
          <t>保加利亞分腿蹲</t>
        </is>
      </c>
      <c r="D185" s="410" t="n">
        <v>7</v>
      </c>
      <c r="E185" s="411" t="n">
        <v>10</v>
      </c>
      <c r="F185" s="411" t="n">
        <v>12</v>
      </c>
      <c r="G185" s="411" t="n">
        <v>1</v>
      </c>
      <c r="H185" s="412">
        <f>IF(OR(E185="",F185=""),"",E185*F185)</f>
        <v/>
      </c>
      <c r="I185" s="44" t="inlineStr">
        <is>
          <t>左腳；每手 5 kg，兩手總負重 10 kg。</t>
        </is>
      </c>
    </row>
    <row r="186">
      <c r="A186" s="403" t="n">
        <v>46276</v>
      </c>
      <c r="B186" s="34" t="inlineStr">
        <is>
          <t>重訓</t>
        </is>
      </c>
      <c r="C186" s="34" t="inlineStr">
        <is>
          <t>保加利亞分腿蹲</t>
        </is>
      </c>
      <c r="D186" s="410" t="n">
        <v>8</v>
      </c>
      <c r="E186" s="411" t="n">
        <v>10</v>
      </c>
      <c r="F186" s="411" t="n">
        <v>10</v>
      </c>
      <c r="G186" s="411" t="n">
        <v>1</v>
      </c>
      <c r="H186" s="412">
        <f>IF(OR(E186="",F186=""),"",E186*F186)</f>
        <v/>
      </c>
      <c r="I186" s="44" t="inlineStr">
        <is>
          <t>右腳；每手 5 kg，兩手總負重 10 kg。</t>
        </is>
      </c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9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  <row r="223">
      <c r="A223" s="441" t="n">
        <v>46272</v>
      </c>
      <c r="B223" s="42" t="inlineStr">
        <is>
          <t>午餐</t>
        </is>
      </c>
      <c r="C223" s="36" t="inlineStr">
        <is>
          <t>使用者回報</t>
        </is>
      </c>
      <c r="D223" s="45" t="inlineStr">
        <is>
          <t>未進食</t>
        </is>
      </c>
      <c r="E223" s="45" t="n">
        <v>0</v>
      </c>
      <c r="F223" s="45" t="n">
        <v>0</v>
      </c>
      <c r="G223" s="45" t="inlineStr">
        <is>
          <t>使用者回報午餐沒吃。</t>
        </is>
      </c>
      <c r="H223" s="45" t="n">
        <v>0</v>
      </c>
    </row>
    <row r="224">
      <c r="A224" s="441" t="n">
        <v>46273</v>
      </c>
      <c r="B224" s="42" t="inlineStr">
        <is>
          <t>早餐</t>
        </is>
      </c>
      <c r="C224" s="36" t="inlineStr">
        <is>
          <t>使用者回報＋既有估算</t>
        </is>
      </c>
      <c r="D224" s="45" t="inlineStr">
        <is>
          <t>7-ELEVEN 30元地瓜</t>
        </is>
      </c>
      <c r="E224" s="45" t="n">
        <v>2.3</v>
      </c>
      <c r="F224" s="45" t="n">
        <v>162</v>
      </c>
      <c r="G224" s="45" t="inlineStr">
        <is>
          <t>沿用 2026-09-07 同款 7-ELEVEN 30元地瓜估算：以約145g計，約蛋白質2.3g、碳水37.7g、162 kcal。</t>
        </is>
      </c>
      <c r="H224" s="45" t="n">
        <v>37.7</v>
      </c>
    </row>
    <row r="225">
      <c r="A225" s="441" t="n">
        <v>46273</v>
      </c>
      <c r="B225" s="42" t="inlineStr">
        <is>
          <t>早餐</t>
        </is>
      </c>
      <c r="C225" s="36" t="inlineStr">
        <is>
          <t>使用者回報＋既有同款紀錄</t>
        </is>
      </c>
      <c r="D225" s="45" t="inlineStr">
        <is>
          <t>7-ELEVEN 21Plus 剝皮辣椒雞胸肉 1 包（145g）</t>
        </is>
      </c>
      <c r="E225" s="45" t="n">
        <v>30</v>
      </c>
      <c r="F225" s="45" t="n">
        <v>163</v>
      </c>
      <c r="G225" s="45" t="inlineStr">
        <is>
          <t>沿用追蹤表先前同款紀錄：約蛋白質30g、163 kcal；未取得可靠碳水標示，因此碳水留白。</t>
        </is>
      </c>
      <c r="H225" s="45" t="inlineStr"/>
    </row>
    <row r="226">
      <c r="A226" s="441" t="n">
        <v>46273</v>
      </c>
      <c r="B226" s="42" t="inlineStr">
        <is>
          <t>早餐</t>
        </is>
      </c>
      <c r="C226" s="36" t="inlineStr">
        <is>
          <t>使用者回報</t>
        </is>
      </c>
      <c r="D226" s="45" t="inlineStr">
        <is>
          <t>額外蛋白質 26g</t>
        </is>
      </c>
      <c r="E226" s="45" t="n">
        <v>26</v>
      </c>
      <c r="F226" s="45" t="inlineStr"/>
      <c r="G226" s="45" t="inlineStr">
        <is>
          <t>使用者回報早餐另外攝取26g蛋白質；未提供來源、品牌、熱量或碳水，因此僅記錄蛋白質。</t>
        </is>
      </c>
      <c r="H226" s="45" t="inlineStr"/>
    </row>
    <row r="227">
      <c r="A227" s="441" t="n">
        <v>46273</v>
      </c>
      <c r="B227" s="42" t="inlineStr">
        <is>
          <t>午餐</t>
        </is>
      </c>
      <c r="C227" s="36" t="inlineStr">
        <is>
          <t>使用者回報</t>
        </is>
      </c>
      <c r="D227" s="45" t="inlineStr">
        <is>
          <t>蛋白飲／額外蛋白質 26g</t>
        </is>
      </c>
      <c r="E227" s="45" t="n">
        <v>26</v>
      </c>
      <c r="F227" s="45" t="inlineStr"/>
      <c r="G227" s="45" t="inlineStr">
        <is>
          <t>使用者回報午餐喝了26g蛋白質；未提供品牌、來源、熱量或碳水，因此僅記錄蛋白質。</t>
        </is>
      </c>
      <c r="H227" s="45" t="inlineStr"/>
    </row>
    <row r="228">
      <c r="A228" s="441" t="n">
        <v>46273</v>
      </c>
      <c r="B228" s="42" t="inlineStr">
        <is>
          <t>晚餐</t>
        </is>
      </c>
      <c r="C228" s="36" t="inlineStr">
        <is>
          <t>使用者回報＋一般台式份量透明估算</t>
        </is>
      </c>
      <c r="D228" s="45" t="inlineStr">
        <is>
          <t>雞肉飯 1 碗</t>
        </is>
      </c>
      <c r="E228" s="45" t="n">
        <v>25</v>
      </c>
      <c r="F228" s="45" t="n">
        <v>500</v>
      </c>
      <c r="G228" s="45" t="inlineStr">
        <is>
          <t>未提供店家與重量，先以一般台式雞肉飯1碗估算約蛋白質25g、碳水65g、500 kcal；實際會依飯量、雞肉量與雞油明顯變動。</t>
        </is>
      </c>
      <c r="H228" s="45" t="n">
        <v>65</v>
      </c>
    </row>
    <row r="229">
      <c r="A229" s="441" t="n">
        <v>46273</v>
      </c>
      <c r="B229" s="42" t="inlineStr">
        <is>
          <t>晚餐</t>
        </is>
      </c>
      <c r="C229" s="36" t="inlineStr">
        <is>
          <t>使用者回報＋一般台式份量透明估算</t>
        </is>
      </c>
      <c r="D229" s="45" t="inlineStr">
        <is>
          <t>豬肝湯 1 碗</t>
        </is>
      </c>
      <c r="E229" s="45" t="n">
        <v>24</v>
      </c>
      <c r="F229" s="45" t="n">
        <v>180</v>
      </c>
      <c r="G229" s="45" t="inlineStr">
        <is>
          <t>未提供店家與豬肝重量，先以一般台式豬肝湯1碗估算約蛋白質24g、碳水4g、180 kcal；實際依豬肝份量與湯底而變動。</t>
        </is>
      </c>
      <c r="H229" s="45" t="n">
        <v>4</v>
      </c>
    </row>
    <row r="230">
      <c r="A230" s="441" t="n">
        <v>46274</v>
      </c>
      <c r="B230" s="42" t="inlineStr">
        <is>
          <t>早餐</t>
        </is>
      </c>
      <c r="C230" s="36" t="inlineStr">
        <is>
          <t>使用者回報＋既有估算</t>
        </is>
      </c>
      <c r="D230" s="45" t="inlineStr">
        <is>
          <t>7-ELEVEN 30元地瓜</t>
        </is>
      </c>
      <c r="E230" s="45" t="n">
        <v>2.3</v>
      </c>
      <c r="F230" s="45" t="n">
        <v>162</v>
      </c>
      <c r="G230" s="45" t="inlineStr">
        <is>
          <t>沿用 2026-09-07 同款 7-ELEVEN 30元地瓜估算：以約145g計，約蛋白質2.3g、碳水37.7g、162 kcal。</t>
        </is>
      </c>
      <c r="H230" s="45" t="n">
        <v>37.7</v>
      </c>
    </row>
    <row r="231">
      <c r="A231" s="441" t="n">
        <v>46274</v>
      </c>
      <c r="B231" s="42" t="inlineStr">
        <is>
          <t>早餐</t>
        </is>
      </c>
      <c r="C231" s="36" t="inlineStr">
        <is>
          <t>使用者回報＋既有同款紀錄</t>
        </is>
      </c>
      <c r="D231" s="45" t="inlineStr">
        <is>
          <t>7-ELEVEN 21Plus 剝皮辣椒雞胸肉 1 包（145g）</t>
        </is>
      </c>
      <c r="E231" s="45" t="n">
        <v>30</v>
      </c>
      <c r="F231" s="45" t="n">
        <v>163</v>
      </c>
      <c r="G231" s="45" t="inlineStr">
        <is>
          <t>沿用追蹤表先前同款紀錄：約蛋白質30g、163 kcal；未取得可靠碳水標示，因此碳水留白。</t>
        </is>
      </c>
      <c r="H231" s="45" t="inlineStr"/>
    </row>
    <row r="232">
      <c r="A232" s="441" t="n">
        <v>46274</v>
      </c>
      <c r="B232" s="42" t="inlineStr">
        <is>
          <t>晚餐</t>
        </is>
      </c>
      <c r="C232" s="36" t="inlineStr">
        <is>
          <t>使用者回報＋一般台式份量透明估算</t>
        </is>
      </c>
      <c r="D232" s="45" t="inlineStr">
        <is>
          <t>牛雜湯 1 碗</t>
        </is>
      </c>
      <c r="E232" s="45" t="n">
        <v>28</v>
      </c>
      <c r="F232" s="45" t="n">
        <v>250</v>
      </c>
      <c r="G232" s="45" t="inlineStr">
        <is>
          <t>未提供店家、牛雜種類與重量，先以一般台式牛雜湯1碗估算約蛋白質28g、碳水5g、250 kcal；實際依牛雜部位、油脂與湯底而變動。</t>
        </is>
      </c>
      <c r="H232" s="45" t="n">
        <v>5</v>
      </c>
    </row>
    <row r="233">
      <c r="A233" s="441" t="n">
        <v>46275</v>
      </c>
      <c r="B233" s="42" t="inlineStr">
        <is>
          <t>早餐</t>
        </is>
      </c>
      <c r="C233" s="36" t="inlineStr">
        <is>
          <t>使用者回報＋既有估算</t>
        </is>
      </c>
      <c r="D233" s="45" t="inlineStr">
        <is>
          <t>7-ELEVEN 30元地瓜</t>
        </is>
      </c>
      <c r="E233" s="45" t="n">
        <v>2.3</v>
      </c>
      <c r="F233" s="45" t="n">
        <v>162</v>
      </c>
      <c r="G233" s="45" t="inlineStr">
        <is>
          <t>沿用先前同款7-ELEVEN 30元地瓜估算：以約145g計，約蛋白質2.3g、碳水37.7g、162 kcal。</t>
        </is>
      </c>
      <c r="H233" s="45" t="n">
        <v>37.7</v>
      </c>
    </row>
    <row r="234">
      <c r="A234" s="441" t="n">
        <v>46275</v>
      </c>
      <c r="B234" s="42" t="inlineStr">
        <is>
          <t>早餐</t>
        </is>
      </c>
      <c r="C234" s="36" t="inlineStr">
        <is>
          <t>使用者回報＋既有同款紀錄</t>
        </is>
      </c>
      <c r="D234" s="45" t="inlineStr">
        <is>
          <t>7-ELEVEN 21Plus 剝皮辣椒雞胸肉 1 包（145g）</t>
        </is>
      </c>
      <c r="E234" s="45" t="n">
        <v>30</v>
      </c>
      <c r="F234" s="45" t="n">
        <v>163</v>
      </c>
      <c r="G234" s="45" t="inlineStr">
        <is>
          <t>沿用追蹤表先前同款紀錄：約蛋白質30g、163 kcal；未取得可靠碳水標示，因此碳水留白。</t>
        </is>
      </c>
      <c r="H234" s="45" t="inlineStr"/>
    </row>
    <row r="235">
      <c r="A235" s="441" t="n">
        <v>46275</v>
      </c>
      <c r="B235" s="42" t="inlineStr">
        <is>
          <t>早餐</t>
        </is>
      </c>
      <c r="C235" s="36" t="inlineStr">
        <is>
          <t>使用者回報</t>
        </is>
      </c>
      <c r="D235" s="45" t="inlineStr">
        <is>
          <t>乳清蛋白 26g蛋白質</t>
        </is>
      </c>
      <c r="E235" s="45" t="n">
        <v>26</v>
      </c>
      <c r="F235" s="45" t="inlineStr"/>
      <c r="G235" s="45" t="inlineStr">
        <is>
          <t>使用者回報早餐另攝取乳清，提供蛋白質26g；未提供品牌、熱量或碳水，因此僅記錄蛋白質。</t>
        </is>
      </c>
      <c r="H235" s="45" t="inlineStr"/>
    </row>
    <row r="236">
      <c r="A236" s="441" t="n">
        <v>46275</v>
      </c>
      <c r="B236" s="42" t="inlineStr">
        <is>
          <t>晚餐</t>
        </is>
      </c>
      <c r="C236" s="36" t="inlineStr">
        <is>
          <t>使用者回報＋一般份量透明估算</t>
        </is>
      </c>
      <c r="D236" s="45" t="inlineStr">
        <is>
          <t>芭樂 1 顆</t>
        </is>
      </c>
      <c r="E236" s="45" t="n">
        <v>2.5</v>
      </c>
      <c r="F236" s="45" t="n">
        <v>120</v>
      </c>
      <c r="G236" s="45" t="inlineStr">
        <is>
          <t>使用者回報晚餐吃一顆芭樂；未提供重量，先以一般中型芭樂估算約蛋白質2.5g、碳水25g、120 kcal，實際依大小而變動。</t>
        </is>
      </c>
      <c r="H236" s="45" t="n">
        <v>25</v>
      </c>
    </row>
    <row r="237">
      <c r="A237" s="441" t="n">
        <v>46275</v>
      </c>
      <c r="B237" s="42" t="inlineStr">
        <is>
          <t>晚餐</t>
        </is>
      </c>
      <c r="C237" s="36" t="inlineStr">
        <is>
          <t>使用者回報＋一般便當份量透明估算</t>
        </is>
      </c>
      <c r="D237" s="45" t="inlineStr">
        <is>
          <t>獅子頭雞肉飯 1 份</t>
        </is>
      </c>
      <c r="E237" s="45" t="n">
        <v>35</v>
      </c>
      <c r="F237" s="45" t="n">
        <v>750</v>
      </c>
      <c r="G237" s="45" t="inlineStr">
        <is>
          <t>使用者回報獅子頭雞肉飯；未提供店家、份量或配菜內容，先以一般一份主食估算約蛋白質35g、碳水70g、750 kcal，實際依獅子頭大小、雞肉量、飯量與醬汁而變動。</t>
        </is>
      </c>
      <c r="H237" s="45" t="n">
        <v>70</v>
      </c>
    </row>
    <row r="238">
      <c r="A238" s="441" t="n">
        <v>46276</v>
      </c>
      <c r="B238" s="42" t="inlineStr">
        <is>
          <t>早餐</t>
        </is>
      </c>
      <c r="C238" s="36" t="inlineStr">
        <is>
          <t>使用者回報＋既有估算</t>
        </is>
      </c>
      <c r="D238" s="45" t="inlineStr">
        <is>
          <t>7-ELEVEN 30元地瓜</t>
        </is>
      </c>
      <c r="E238" s="45" t="n">
        <v>2.3</v>
      </c>
      <c r="F238" s="45" t="n">
        <v>162</v>
      </c>
      <c r="G238" s="45" t="inlineStr">
        <is>
          <t>沿用先前同款7-ELEVEN 30元地瓜估算：以約145g計，約蛋白質2.3g、碳水37.7g、162 kcal。</t>
        </is>
      </c>
      <c r="H238" s="45" t="n">
        <v>37.7</v>
      </c>
    </row>
    <row r="239">
      <c r="A239" s="441" t="n">
        <v>46276</v>
      </c>
      <c r="B239" s="42" t="inlineStr">
        <is>
          <t>早餐</t>
        </is>
      </c>
      <c r="C239" s="36" t="inlineStr">
        <is>
          <t>使用者回報＋既有同款紀錄</t>
        </is>
      </c>
      <c r="D239" s="45" t="inlineStr">
        <is>
          <t>7-ELEVEN 21Plus 剝皮辣椒雞胸肉 1 包（145g）</t>
        </is>
      </c>
      <c r="E239" s="45" t="n">
        <v>30</v>
      </c>
      <c r="F239" s="45" t="n">
        <v>163</v>
      </c>
      <c r="G239" s="45" t="inlineStr">
        <is>
          <t>沿用追蹤表先前同款紀錄：約蛋白質30g、163 kcal；未取得可靠碳水標示，因此碳水留白。</t>
        </is>
      </c>
      <c r="H239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2026-09-07</t>
        </is>
      </c>
      <c r="F2" t="n">
        <v>20</v>
      </c>
      <c r="G2" t="n">
        <v>13</v>
      </c>
      <c r="H2" t="n">
        <v>2</v>
      </c>
      <c r="I2" s="449" t="inlineStr">
        <is>
          <t>25kg×15/DBR2；25kg×14/DBR2；15kg×11/DBR2；20kg×13/DBR2</t>
        </is>
      </c>
      <c r="J2" s="449" t="inlineStr">
        <is>
          <t>正常</t>
        </is>
      </c>
      <c r="K2" s="449" t="inlineStr">
        <is>
          <t>最近一次訓練中 25 kg 有 2 組落在約 8–20 下、DBR1–3；以可重複的工作組表現優先，不直接選最高重量。</t>
        </is>
      </c>
    </row>
    <row r="3">
      <c r="A3" t="inlineStr">
        <is>
          <t>保加利亞分腿蹲</t>
        </is>
      </c>
      <c r="B3" t="n">
        <v>10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2026-09-11</t>
        </is>
      </c>
      <c r="F3" t="n">
        <v>10</v>
      </c>
      <c r="G3" t="n">
        <v>10</v>
      </c>
      <c r="H3" t="n">
        <v>1</v>
      </c>
      <c r="I3" s="449" t="inlineStr">
        <is>
          <t>左10kg×15/DBR2；左10kg×15/DBR2；左10kg×12/DBR2；左10kg×12/DBR2；左10kg×13/DBR2；右10kg×10/DBR2；左10kg×12/DBR1；右10kg×10/DBR1</t>
        </is>
      </c>
      <c r="J3" s="449" t="inlineStr">
        <is>
          <t>正常</t>
        </is>
      </c>
      <c r="K3" s="449" t="inlineStr">
        <is>
          <t>最近一次訓練中 10 kg 有 8 組落在約 8–20 下、DBR1–3；以可重複的工作組表現優先，不直接選最高重量。</t>
        </is>
      </c>
    </row>
    <row r="4">
      <c r="A4" t="inlineStr">
        <is>
          <t>划船</t>
        </is>
      </c>
      <c r="B4" t="n">
        <v>26.5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2026-09-07</t>
        </is>
      </c>
      <c r="F4" t="n">
        <v>30</v>
      </c>
      <c r="G4" t="n">
        <v>13</v>
      </c>
      <c r="H4" t="n">
        <v>0</v>
      </c>
      <c r="I4" s="449" t="inlineStr">
        <is>
          <t>26.5kg×15/DBR4；26.5kg×15/DBR2；30kg×13/DBR2；30kg×13/DBR0；30kg×13/DBR0</t>
        </is>
      </c>
      <c r="J4" s="449" t="inlineStr">
        <is>
          <t>正常</t>
        </is>
      </c>
      <c r="K4" s="449" t="inlineStr">
        <is>
          <t>最近一次訓練中 26.5 kg 有 1 組落在約 8–20 下、DBR1–3；以可重複的工作組表現優先，不直接選最高重量。</t>
        </is>
      </c>
    </row>
    <row r="5">
      <c r="A5" t="inlineStr">
        <is>
          <t>反向飛鳥</t>
        </is>
      </c>
      <c r="B5" t="n">
        <v>20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2026-09-05</t>
        </is>
      </c>
      <c r="F5" t="n">
        <v>15</v>
      </c>
      <c r="G5" t="n">
        <v>12</v>
      </c>
      <c r="H5" t="n">
        <v>0</v>
      </c>
      <c r="I5" s="449" t="inlineStr">
        <is>
          <t>20kg×8/DBR1；15kg×11/DBR1；15kg×12/DBR0</t>
        </is>
      </c>
      <c r="J5" s="449" t="inlineStr">
        <is>
          <t>正常</t>
        </is>
      </c>
      <c r="K5" s="449" t="inlineStr">
        <is>
          <t>最近一次訓練中 20 kg 有 1 組落在約 8–20 下、DBR1–3；以可重複的工作組表現優先，不直接選最高重量。</t>
        </is>
      </c>
    </row>
    <row r="6">
      <c r="A6" t="inlineStr">
        <is>
          <t>啞鈴側平舉</t>
        </is>
      </c>
      <c r="B6" t="n">
        <v>10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2026-09-07</t>
        </is>
      </c>
      <c r="F6" t="n">
        <v>10</v>
      </c>
      <c r="G6" t="n">
        <v>15</v>
      </c>
      <c r="H6" t="n">
        <v>0</v>
      </c>
      <c r="I6" s="449" t="inlineStr">
        <is>
          <t>10kg×15/DBR1；10kg×13/DBR1；10kg×14/DBR1；10kg×15/DBR0</t>
        </is>
      </c>
      <c r="J6" s="449" t="inlineStr">
        <is>
          <t>正常</t>
        </is>
      </c>
      <c r="K6" s="449" t="inlineStr">
        <is>
          <t>最近一次訓練中 10 kg 有 3 組落在約 8–20 下、DBR1–3；以可重複的工作組表現優先，不直接選最高重量。</t>
        </is>
      </c>
    </row>
    <row r="7">
      <c r="A7" t="inlineStr">
        <is>
          <t>滑輪下拉</t>
        </is>
      </c>
      <c r="B7" t="n">
        <v>37.5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2026-09-05</t>
        </is>
      </c>
      <c r="F7" t="n">
        <v>37.5</v>
      </c>
      <c r="G7" t="n">
        <v>12</v>
      </c>
      <c r="H7" t="n">
        <v>1</v>
      </c>
      <c r="I7" s="449" t="inlineStr">
        <is>
          <t>30kg×15/DBR4；37.5kg×14/DBR2；37.5kg×12/DBR2；37.5kg×12/DBR1</t>
        </is>
      </c>
      <c r="J7" s="449" t="inlineStr">
        <is>
          <t>正常</t>
        </is>
      </c>
      <c r="K7" s="449" t="inlineStr">
        <is>
          <t>最近一次訓練中 37.5 kg 有 3 組落在約 8–20 下、DBR1–3；以可重複的工作組表現優先，不直接選最高重量。</t>
        </is>
      </c>
    </row>
    <row r="8">
      <c r="A8" t="inlineStr">
        <is>
          <t>睾丸繩下拉</t>
        </is>
      </c>
      <c r="B8" t="n">
        <v>6.25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2026-08-14</t>
        </is>
      </c>
      <c r="F8" t="n">
        <v>6.25</v>
      </c>
      <c r="G8" t="n">
        <v>11</v>
      </c>
      <c r="H8" t="n">
        <v>0</v>
      </c>
      <c r="I8" s="449" t="inlineStr">
        <is>
          <t>8.75kg×11/DBR0；8.75kg×10/DBR0；6.25kg×13/DBR0；6.25kg×13/DBR0；6.25kg×11/DBR0</t>
        </is>
      </c>
      <c r="J8" s="449" t="inlineStr">
        <is>
          <t>正常</t>
        </is>
      </c>
      <c r="K8" s="449" t="inlineStr">
        <is>
          <t>最近一次已知組多為力竭；下次採該次較低重量重新建立 DBR1–3 的工作組。</t>
        </is>
      </c>
    </row>
    <row r="9">
      <c r="A9" t="inlineStr">
        <is>
          <t>羅馬尼亞分腿蹲</t>
        </is>
      </c>
      <c r="B9" t="n">
        <v>10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2026-09-05</t>
        </is>
      </c>
      <c r="F9" t="n">
        <v>10</v>
      </c>
      <c r="G9" t="n">
        <v>11</v>
      </c>
      <c r="H9" t="n">
        <v>1</v>
      </c>
      <c r="I9" s="449" t="inlineStr">
        <is>
          <t>左10kg×15/DBR3；右10kg×15/DBR3；左10kg×15/DBR2；右10kg×15/DBR2；左10kg×15/DBR1；右10kg×11/DBR1；左10kg×11/DBR2；右10kg×11/DBR1</t>
        </is>
      </c>
      <c r="J9" s="449" t="inlineStr">
        <is>
          <t>正常</t>
        </is>
      </c>
      <c r="K9" s="449" t="inlineStr">
        <is>
          <t>最近一次訓練中 10 kg 有 8 組落在約 8–20 下、DBR1–3；以可重複的工作組表現優先，不直接選最高重量。</t>
        </is>
      </c>
    </row>
    <row r="10">
      <c r="A10" t="inlineStr">
        <is>
          <t>羅馬尼亞蹲</t>
        </is>
      </c>
      <c r="B10" t="n">
        <v>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2026-08-12</t>
        </is>
      </c>
      <c r="F10" t="n">
        <v>5</v>
      </c>
      <c r="G10" t="n">
        <v>14</v>
      </c>
      <c r="H10" t="n">
        <v>0</v>
      </c>
      <c r="I10" s="449" t="inlineStr">
        <is>
          <t>左自重×15/DBR3；右自重×15/DBR3；左5kg×15/DBR2；右5kg×8/DBR0；左5kg×14/DBR0；右5kg×14/DBR0；左5kg×14/DBR0；右5kg×14/DBR0</t>
        </is>
      </c>
      <c r="J10" s="449" t="inlineStr">
        <is>
          <t>正常</t>
        </is>
      </c>
      <c r="K10" s="449" t="inlineStr">
        <is>
          <t>最近一次訓練中 5 kg 有 1 組落在約 8–20 下、DBR1–3；以可重複的工作組表現優先，不直接選最高重量。</t>
        </is>
      </c>
    </row>
    <row r="11">
      <c r="A11" t="inlineStr">
        <is>
          <t>腿內收</t>
        </is>
      </c>
      <c r="B11" t="n">
        <v>37.5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2026-09-05</t>
        </is>
      </c>
      <c r="F11" t="n">
        <v>37.5</v>
      </c>
      <c r="G11" t="n">
        <v>15</v>
      </c>
      <c r="H11" t="n">
        <v>0</v>
      </c>
      <c r="I11" s="449" t="inlineStr">
        <is>
          <t>37.5kg×13/DBR2；37.5kg×14/DBR2；37.5kg×15/DBR0</t>
        </is>
      </c>
      <c r="J11" s="449" t="inlineStr">
        <is>
          <t>正常</t>
        </is>
      </c>
      <c r="K11" s="449" t="inlineStr">
        <is>
          <t>最近一次訓練中 37.5 kg 有 2 組落在約 8–20 下、DBR1–3；以可重複的工作組表現優先，不直接選最高重量。</t>
        </is>
      </c>
    </row>
    <row r="12">
      <c r="A12" t="inlineStr">
        <is>
          <t>腿外展</t>
        </is>
      </c>
      <c r="B12" t="n">
        <v>45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2026-09-07</t>
        </is>
      </c>
      <c r="F12" t="n">
        <v>45</v>
      </c>
      <c r="G12" t="n">
        <v>15</v>
      </c>
      <c r="H12" t="n">
        <v>2</v>
      </c>
      <c r="I12" s="449" t="inlineStr">
        <is>
          <t>40.8kg×15/DBR4；48.75kg×15/DBR1；45kg×15/DBR1；45kg×12/DBR2；45kg×15/DBR2</t>
        </is>
      </c>
      <c r="J12" s="449" t="inlineStr">
        <is>
          <t>正常</t>
        </is>
      </c>
      <c r="K12" s="449" t="inlineStr">
        <is>
          <t>最近一次訓練中 45 kg 有 3 組落在約 8–20 下、DBR1–3；以可重複的工作組表現優先，不直接選最高重量。</t>
        </is>
      </c>
    </row>
    <row r="13">
      <c r="A13" t="inlineStr">
        <is>
          <t>腿後勾</t>
        </is>
      </c>
      <c r="B13" t="n">
        <v>47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2026-09-07</t>
        </is>
      </c>
      <c r="F13" t="n">
        <v>47</v>
      </c>
      <c r="G13" t="n">
        <v>13</v>
      </c>
      <c r="H13" t="n">
        <v>0</v>
      </c>
      <c r="I13" s="449" t="inlineStr">
        <is>
          <t>40kg×15/DBR3；47kg×15/DBR1；47kg×12/DBR1；47kg×13/DBR0</t>
        </is>
      </c>
      <c r="J13" s="449" t="inlineStr">
        <is>
          <t>正常</t>
        </is>
      </c>
      <c r="K13" s="449" t="inlineStr">
        <is>
          <t>最近一次訓練中 47 kg 有 2 組落在約 8–20 下、DBR1–3；以可重複的工作組表現優先，不直接選最高重量。</t>
        </is>
      </c>
    </row>
    <row r="14">
      <c r="A14" t="inlineStr">
        <is>
          <t>腿推舉</t>
        </is>
      </c>
      <c r="B14" t="n">
        <v>40</v>
      </c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2026-08-04</t>
        </is>
      </c>
      <c r="F14" t="n">
        <v>40</v>
      </c>
      <c r="G14" t="n">
        <v>16</v>
      </c>
      <c r="H14" t="n">
        <v>0</v>
      </c>
      <c r="I14" s="449" t="inlineStr">
        <is>
          <t>40kg×16/DBR3；40kg×18/DBR2；40kg×16/DBR1；40kg×16/DBR0</t>
        </is>
      </c>
      <c r="J14" s="449" t="inlineStr">
        <is>
          <t>正常</t>
        </is>
      </c>
      <c r="K14" s="449" t="inlineStr">
        <is>
          <t>最近一次訓練中 40 kg 有 3 組落在約 8–20 下、DBR1–3；以可重複的工作組表現優先，不直接選最高重量。</t>
        </is>
      </c>
    </row>
    <row r="15">
      <c r="A15" t="inlineStr">
        <is>
          <t>臀推機</t>
        </is>
      </c>
      <c r="B15" t="inlineStr"/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2026-08-28</t>
        </is>
      </c>
      <c r="F15" t="n">
        <v>20</v>
      </c>
      <c r="G15" t="n">
        <v>12</v>
      </c>
      <c r="H15" t="n">
        <v>2</v>
      </c>
      <c r="I15" s="449" t="inlineStr">
        <is>
          <t>20kg×12/DBR3；20kg×12/DBR2；20kg×12/DBR2</t>
        </is>
      </c>
      <c r="J15" s="449" t="inlineStr">
        <is>
          <t>疼痛／不適：暫不自動推薦重量</t>
        </is>
      </c>
      <c r="K15" s="449" t="inlineStr">
        <is>
          <t>最近一次訓練備註出現疼痛／不適；保留歷史重量，但下次先確認無痛，不依重量基準直接加載。</t>
        </is>
      </c>
    </row>
    <row r="16">
      <c r="A16" t="inlineStr">
        <is>
          <t>蝴蝶機夾胸</t>
        </is>
      </c>
      <c r="B16" t="n">
        <v>25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2026-08-12</t>
        </is>
      </c>
      <c r="F16" t="n">
        <v>20</v>
      </c>
      <c r="G16" t="n">
        <v>13</v>
      </c>
      <c r="H16" t="n">
        <v>0</v>
      </c>
      <c r="I16" s="449" t="inlineStr">
        <is>
          <t>25kg×15/DBR3；20kg×15/DBR0；25kg×7/DBR0；20kg×13/DBR0</t>
        </is>
      </c>
      <c r="J16" s="449" t="inlineStr">
        <is>
          <t>正常</t>
        </is>
      </c>
      <c r="K16" s="449" t="inlineStr">
        <is>
          <t>最近一次訓練中 25 kg 有 1 組落在約 8–20 下、DBR1–3；以可重複的工作組表現優先，不直接選最高重量。</t>
        </is>
      </c>
    </row>
    <row r="17">
      <c r="A17" t="inlineStr">
        <is>
          <t>飛鳥夾胸</t>
        </is>
      </c>
      <c r="B17" t="n">
        <v>20</v>
      </c>
      <c r="C17" t="inlineStr">
        <is>
          <t>10–15（特殊動作可依既有表現調整）</t>
        </is>
      </c>
      <c r="D17" t="inlineStr">
        <is>
          <t>1–3；最後一組可視情況 DBR0</t>
        </is>
      </c>
      <c r="E17" t="inlineStr">
        <is>
          <t>2026-08-28</t>
        </is>
      </c>
      <c r="F17" t="n">
        <v>20</v>
      </c>
      <c r="G17" t="n">
        <v>10</v>
      </c>
      <c r="H17" t="n">
        <v>0</v>
      </c>
      <c r="I17" s="449" t="inlineStr">
        <is>
          <t>20kg×15/DBR3；20kg×14/DBR2；20kg×12/DBR1；20kg×10/DBR0</t>
        </is>
      </c>
      <c r="J17" s="449" t="inlineStr">
        <is>
          <t>正常</t>
        </is>
      </c>
      <c r="K17" s="449" t="inlineStr">
        <is>
          <t>最近一次訓練中 20 kg 有 3 組落在約 8–20 下、DBR1–3；以可重複的工作組表現優先，不直接選最高重量。</t>
        </is>
      </c>
    </row>
  </sheetData>
  <autoFilter ref="A1:K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2026-09-11T11:20:41Z</dcterms:modified>
</cp:coreProperties>
</file>