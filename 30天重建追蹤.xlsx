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'動作基準'!$A$1:$K$18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164" fontId="0" fillId="59" borderId="7" applyAlignment="1" pivotButton="0" quotePrefix="0" xfId="0">
      <alignment horizontal="center" vertical="center" wrapText="1"/>
    </xf>
    <xf numFmtId="0" fontId="8" fillId="58" borderId="5" applyAlignment="1" pivotButton="0" quotePrefix="0" xfId="0">
      <alignment horizontal="center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  <row r="39">
      <c r="A39" s="450" t="n">
        <v>46276</v>
      </c>
      <c r="B39" s="451" t="n"/>
      <c r="C39" s="222" t="n"/>
      <c r="D39" s="218" t="n"/>
      <c r="E39" s="44" t="n"/>
      <c r="F39" s="44" t="n"/>
      <c r="G39" s="218" t="n"/>
      <c r="H39" s="218" t="n">
        <v>20</v>
      </c>
      <c r="I39" s="218" t="n"/>
      <c r="J39" s="215" t="n"/>
    </row>
    <row r="40">
      <c r="A40" s="450" t="n">
        <v>46278</v>
      </c>
      <c r="B40" s="451" t="n"/>
      <c r="C40" s="222" t="n"/>
      <c r="D40" s="218" t="n"/>
      <c r="E40" s="44" t="n"/>
      <c r="F40" s="44" t="n"/>
      <c r="G40" s="218" t="inlineStr">
        <is>
          <t>否</t>
        </is>
      </c>
      <c r="H40" s="218" t="n">
        <v>0</v>
      </c>
      <c r="I40" s="218" t="n"/>
      <c r="J40" s="215" t="n"/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>
        <v>46276</v>
      </c>
      <c r="B198" s="34" t="inlineStr">
        <is>
          <t>重訓</t>
        </is>
      </c>
      <c r="C198" s="34" t="inlineStr">
        <is>
          <t>滑輪下拉</t>
        </is>
      </c>
      <c r="D198" s="410" t="n">
        <v>3</v>
      </c>
      <c r="E198" s="411" t="n">
        <v>37.5</v>
      </c>
      <c r="F198" s="411" t="n">
        <v>11</v>
      </c>
      <c r="G198" s="411" t="n">
        <v>1</v>
      </c>
      <c r="H198" s="412">
        <f>IF(OR(E198="",F198=""),"",E198*F198)</f>
        <v/>
      </c>
      <c r="I198" s="44" t="inlineStr">
        <is>
          <t>重量未重複提供，沿用上一組 37.5 kg。</t>
        </is>
      </c>
    </row>
    <row r="199">
      <c r="A199" s="403" t="n">
        <v>46276</v>
      </c>
      <c r="B199" s="34" t="inlineStr">
        <is>
          <t>重訓</t>
        </is>
      </c>
      <c r="C199" s="34" t="inlineStr">
        <is>
          <t>滑輪下拉</t>
        </is>
      </c>
      <c r="D199" s="410" t="n">
        <v>4</v>
      </c>
      <c r="E199" s="411" t="n">
        <v>37.5</v>
      </c>
      <c r="F199" s="411" t="n">
        <v>8</v>
      </c>
      <c r="G199" s="411" t="n">
        <v>0</v>
      </c>
      <c r="H199" s="412">
        <f>IF(OR(E199="",F199=""),"",E199*F199)</f>
        <v/>
      </c>
      <c r="I199" s="44" t="inlineStr">
        <is>
          <t>重量未重複提供，沿用上一組 37.5 kg。</t>
        </is>
      </c>
    </row>
    <row r="200">
      <c r="A200" s="403" t="n">
        <v>46276</v>
      </c>
      <c r="B200" s="34" t="inlineStr">
        <is>
          <t>重訓</t>
        </is>
      </c>
      <c r="C200" s="34" t="inlineStr">
        <is>
          <t>腿內收</t>
        </is>
      </c>
      <c r="D200" s="410" t="n">
        <v>1</v>
      </c>
      <c r="E200" s="411" t="n">
        <v>37.5</v>
      </c>
      <c r="F200" s="411" t="n">
        <v>13</v>
      </c>
      <c r="G200" s="411" t="n">
        <v>2</v>
      </c>
      <c r="H200" s="412">
        <f>IF(OR(E200="",F200=""),"",E200*F200)</f>
        <v/>
      </c>
      <c r="I200" s="44" t="inlineStr">
        <is>
          <t>重量未重複提供，沿用本次安排 37.5 kg。</t>
        </is>
      </c>
    </row>
    <row r="201">
      <c r="A201" s="403" t="n">
        <v>46276</v>
      </c>
      <c r="B201" s="34" t="inlineStr">
        <is>
          <t>重訓</t>
        </is>
      </c>
      <c r="C201" s="34" t="inlineStr">
        <is>
          <t>腿內收</t>
        </is>
      </c>
      <c r="D201" s="410" t="n">
        <v>2</v>
      </c>
      <c r="E201" s="411" t="n">
        <v>37.5</v>
      </c>
      <c r="F201" s="411" t="n">
        <v>13</v>
      </c>
      <c r="G201" s="411" t="n">
        <v>1</v>
      </c>
      <c r="H201" s="412">
        <f>IF(OR(E201="",F201=""),"",E201*F201)</f>
        <v/>
      </c>
      <c r="I201" s="44" t="inlineStr">
        <is>
          <t>重量未重複提供，沿用上一組 37.5 kg。</t>
        </is>
      </c>
    </row>
    <row r="202">
      <c r="A202" s="403" t="n">
        <v>46276</v>
      </c>
      <c r="B202" s="34" t="inlineStr">
        <is>
          <t>重訓</t>
        </is>
      </c>
      <c r="C202" s="34" t="inlineStr">
        <is>
          <t>腿內收</t>
        </is>
      </c>
      <c r="D202" s="410" t="n">
        <v>3</v>
      </c>
      <c r="E202" s="411" t="n">
        <v>37.5</v>
      </c>
      <c r="F202" s="411" t="n">
        <v>13</v>
      </c>
      <c r="G202" s="411" t="n">
        <v>1</v>
      </c>
      <c r="H202" s="412">
        <f>IF(OR(E202="",F202=""),"",E202*F202)</f>
        <v/>
      </c>
      <c r="I202" s="44" t="inlineStr">
        <is>
          <t>重量未重複提供，沿用上一組 37.5 kg。</t>
        </is>
      </c>
    </row>
    <row r="203">
      <c r="A203" s="403" t="n">
        <v>46276</v>
      </c>
      <c r="B203" s="34" t="inlineStr">
        <is>
          <t>重訓</t>
        </is>
      </c>
      <c r="C203" s="34" t="inlineStr">
        <is>
          <t>腿內收</t>
        </is>
      </c>
      <c r="D203" s="410" t="n">
        <v>4</v>
      </c>
      <c r="E203" s="411" t="n">
        <v>37.5</v>
      </c>
      <c r="F203" s="411" t="n">
        <v>13</v>
      </c>
      <c r="G203" s="411" t="n">
        <v>0</v>
      </c>
      <c r="H203" s="412">
        <f>IF(OR(E203="",F203=""),"",E203*F203)</f>
        <v/>
      </c>
      <c r="I203" s="44" t="inlineStr">
        <is>
          <t>重量未重複提供，沿用上一組 37.5 kg。</t>
        </is>
      </c>
    </row>
    <row r="204">
      <c r="A204" s="403" t="n">
        <v>46279</v>
      </c>
      <c r="B204" s="34" t="inlineStr">
        <is>
          <t>重訓</t>
        </is>
      </c>
      <c r="C204" s="34" t="inlineStr">
        <is>
          <t>DRAX 槓片式腿推機</t>
        </is>
      </c>
      <c r="D204" s="410" t="n">
        <v>1</v>
      </c>
      <c r="E204" s="411" t="n">
        <v>40</v>
      </c>
      <c r="F204" s="411" t="n">
        <v>15</v>
      </c>
      <c r="G204" s="411" t="n">
        <v>4</v>
      </c>
      <c r="H204" s="412">
        <f>IF(OR(E204="",F204=""),"",E204*F204)</f>
        <v/>
      </c>
      <c r="I204" s="44" t="inlineStr">
        <is>
          <t>使用者回報 40 kg × 15，DBR4；照片確認為 DRAX 槓片式腿推機。重量按使用者回報記錄，不另加機台／滑軌自重；此動作與既有『腿推舉』分開建立基準。</t>
        </is>
      </c>
    </row>
    <row r="205">
      <c r="A205" s="403" t="n">
        <v>46279</v>
      </c>
      <c r="B205" s="34" t="inlineStr">
        <is>
          <t>重訓</t>
        </is>
      </c>
      <c r="C205" s="34" t="inlineStr">
        <is>
          <t>DRAX 槓片式腿推機</t>
        </is>
      </c>
      <c r="D205" s="410" t="n">
        <v>2</v>
      </c>
      <c r="E205" s="411" t="n">
        <v>40</v>
      </c>
      <c r="F205" s="411" t="n">
        <v>15</v>
      </c>
      <c r="G205" s="411" t="n">
        <v>3</v>
      </c>
      <c r="H205" s="412">
        <f>IF(OR(E205="",F205=""),"",E205*F205)</f>
        <v/>
      </c>
      <c r="I205" s="44" t="inlineStr">
        <is>
          <t>重量未重複提供，沿用上一組 40 kg。</t>
        </is>
      </c>
    </row>
    <row r="206">
      <c r="A206" s="403" t="n">
        <v>46279</v>
      </c>
      <c r="B206" s="34" t="inlineStr">
        <is>
          <t>重訓</t>
        </is>
      </c>
      <c r="C206" s="34" t="inlineStr">
        <is>
          <t>DRAX 槓片式腿推機</t>
        </is>
      </c>
      <c r="D206" s="410" t="n">
        <v>3</v>
      </c>
      <c r="E206" s="411" t="n">
        <v>40</v>
      </c>
      <c r="F206" s="411" t="n">
        <v>15</v>
      </c>
      <c r="G206" s="411" t="n">
        <v>1</v>
      </c>
      <c r="H206" s="412">
        <f>IF(OR(E206="",F206=""),"",E206*F206)</f>
        <v/>
      </c>
      <c r="I206" s="44" t="inlineStr">
        <is>
          <t>重量未重複提供，沿用上一組 40 kg。照片中腳位為踏板中上區、約肩寬。</t>
        </is>
      </c>
    </row>
    <row r="207">
      <c r="A207" s="403" t="n">
        <v>46279</v>
      </c>
      <c r="B207" s="34" t="inlineStr">
        <is>
          <t>重訓</t>
        </is>
      </c>
      <c r="C207" s="34" t="inlineStr">
        <is>
          <t>DRAX 槓片式腿推機</t>
        </is>
      </c>
      <c r="D207" s="410" t="n">
        <v>4</v>
      </c>
      <c r="E207" s="411" t="n">
        <v>40</v>
      </c>
      <c r="F207" s="411" t="n">
        <v>12</v>
      </c>
      <c r="G207" s="411" t="n">
        <v>2</v>
      </c>
      <c r="H207" s="412">
        <f>IF(OR(E207="",F207=""),"",E207*F207)</f>
        <v/>
      </c>
      <c r="I207" s="44" t="inlineStr">
        <is>
          <t>重量未重複提供，沿用上一組 40 kg。</t>
        </is>
      </c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8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  <row r="240">
      <c r="A240" s="441" t="n">
        <v>46276</v>
      </c>
      <c r="B240" s="42" t="inlineStr">
        <is>
          <t>午餐</t>
        </is>
      </c>
      <c r="C240" s="36" t="inlineStr">
        <is>
          <t>使用者回報</t>
        </is>
      </c>
      <c r="D240" s="45" t="inlineStr">
        <is>
          <t>蛋白飲／額外蛋白質 52g</t>
        </is>
      </c>
      <c r="E240" s="45" t="n">
        <v>52</v>
      </c>
      <c r="F240" s="45" t="inlineStr"/>
      <c r="G240" s="45" t="inlineStr">
        <is>
          <t>使用者回報午餐喝了52g蛋白質；未提供品牌、熱量或碳水，因此僅記錄蛋白質。</t>
        </is>
      </c>
      <c r="H240" s="45" t="inlineStr"/>
    </row>
    <row r="241">
      <c r="A241" s="441" t="n">
        <v>46276</v>
      </c>
      <c r="B241" s="42" t="inlineStr">
        <is>
          <t>晚餐</t>
        </is>
      </c>
      <c r="C241" s="36" t="inlineStr">
        <is>
          <t>使用者回報＋照片份量透明估算</t>
        </is>
      </c>
      <c r="D241" s="45" t="inlineStr">
        <is>
          <t>鹽水雞：雞胸肉 1 份</t>
        </is>
      </c>
      <c r="E241" s="45" t="n">
        <v>31</v>
      </c>
      <c r="F241" s="45" t="n">
        <v>170</v>
      </c>
      <c r="G241" s="45" t="inlineStr">
        <is>
          <t>照片可見多塊雞胸肉，估約100g熟重，約蛋白質31g、170 kcal；實際依份量與拌油而變動。</t>
        </is>
      </c>
      <c r="H241" s="45" t="inlineStr"/>
    </row>
    <row r="242">
      <c r="A242" s="441" t="n">
        <v>46276</v>
      </c>
      <c r="B242" s="42" t="inlineStr">
        <is>
          <t>晚餐</t>
        </is>
      </c>
      <c r="C242" s="36" t="inlineStr">
        <is>
          <t>使用者回報＋照片份量透明估算</t>
        </is>
      </c>
      <c r="D242" s="45" t="inlineStr">
        <is>
          <t>鹽水雞：豬耳朵 1 份</t>
        </is>
      </c>
      <c r="E242" s="45" t="n">
        <v>14</v>
      </c>
      <c r="F242" s="45" t="n">
        <v>180</v>
      </c>
      <c r="G242" s="45" t="inlineStr">
        <is>
          <t>照片可見豬耳朵條狀切片，估一般鹽水雞配料1份，約蛋白質14g、180 kcal；實際依肥瘦與份量而變動。</t>
        </is>
      </c>
      <c r="H242" s="45" t="inlineStr"/>
    </row>
    <row r="243">
      <c r="A243" s="441" t="n">
        <v>46276</v>
      </c>
      <c r="B243" s="42" t="inlineStr">
        <is>
          <t>晚餐</t>
        </is>
      </c>
      <c r="C243" s="36" t="inlineStr">
        <is>
          <t>使用者回報＋照片份量透明估算</t>
        </is>
      </c>
      <c r="D243" s="45" t="inlineStr">
        <is>
          <t>鹽水雞：高麗菜 1 份</t>
        </is>
      </c>
      <c r="E243" s="45" t="n">
        <v>2</v>
      </c>
      <c r="F243" s="45" t="n">
        <v>45</v>
      </c>
      <c r="G243" s="45" t="inlineStr">
        <is>
          <t>照片可見高麗菜約1份，估約蛋白質2g、碳水8g、45 kcal；未另加估拌油。</t>
        </is>
      </c>
      <c r="H243" s="45" t="n">
        <v>8</v>
      </c>
    </row>
    <row r="244">
      <c r="A244" s="441" t="n">
        <v>46276</v>
      </c>
      <c r="B244" s="42" t="inlineStr">
        <is>
          <t>晚餐</t>
        </is>
      </c>
      <c r="C244" s="36" t="inlineStr">
        <is>
          <t>使用者回報＋照片份量透明估算</t>
        </is>
      </c>
      <c r="D244" s="45" t="inlineStr">
        <is>
          <t>鹽水雞：豆乾 1 份</t>
        </is>
      </c>
      <c r="E244" s="45" t="n">
        <v>12</v>
      </c>
      <c r="F244" s="45" t="n">
        <v>130</v>
      </c>
      <c r="G244" s="45" t="inlineStr">
        <is>
          <t>照片可見豆乾切塊，估一般1份約蛋白質12g、碳水5g、130 kcal；實際依份量而變動。</t>
        </is>
      </c>
      <c r="H244" s="45" t="n">
        <v>5</v>
      </c>
    </row>
    <row r="245">
      <c r="A245" s="441" t="n">
        <v>46277</v>
      </c>
      <c r="B245" s="42" t="inlineStr">
        <is>
          <t>早餐</t>
        </is>
      </c>
      <c r="C245" s="36" t="inlineStr">
        <is>
          <t>使用者回報＋既有估算</t>
        </is>
      </c>
      <c r="D245" s="45" t="inlineStr">
        <is>
          <t>7-ELEVEN 30元地瓜</t>
        </is>
      </c>
      <c r="E245" s="45" t="n">
        <v>2.3</v>
      </c>
      <c r="F245" s="45" t="n">
        <v>162</v>
      </c>
      <c r="G245" s="45" t="inlineStr">
        <is>
          <t>沿用先前同款 7-ELEVEN 30元地瓜估算：約145g，約蛋白質2.3g、碳水37.7g、162 kcal。</t>
        </is>
      </c>
      <c r="H245" s="45" t="n">
        <v>37.7</v>
      </c>
    </row>
    <row r="246">
      <c r="A246" s="441" t="n">
        <v>46277</v>
      </c>
      <c r="B246" s="42" t="inlineStr">
        <is>
          <t>早餐</t>
        </is>
      </c>
      <c r="C246" s="36" t="inlineStr">
        <is>
          <t>使用者回報＋既有同款紀錄</t>
        </is>
      </c>
      <c r="D246" s="45" t="inlineStr">
        <is>
          <t>7-ELEVEN 21Plus 剝皮辣椒雞胸肉 1 包（145g）</t>
        </is>
      </c>
      <c r="E246" s="45" t="n">
        <v>30</v>
      </c>
      <c r="F246" s="45" t="n">
        <v>163</v>
      </c>
      <c r="G246" s="45" t="inlineStr">
        <is>
          <t>沿用追蹤表先前同款紀錄：約蛋白質30g、163 kcal；未取得可靠碳水標示，因此碳水留白。</t>
        </is>
      </c>
      <c r="H246" s="45" t="inlineStr"/>
    </row>
    <row r="247">
      <c r="A247" s="441" t="n">
        <v>46277</v>
      </c>
      <c r="B247" s="42" t="inlineStr">
        <is>
          <t>早餐</t>
        </is>
      </c>
      <c r="C247" s="36" t="inlineStr">
        <is>
          <t>使用者回報</t>
        </is>
      </c>
      <c r="D247" s="45" t="inlineStr">
        <is>
          <t>乳清蛋白 26g 蛋白質</t>
        </is>
      </c>
      <c r="E247" s="45" t="n">
        <v>26</v>
      </c>
      <c r="F247" s="45" t="inlineStr"/>
      <c r="G247" s="45" t="inlineStr">
        <is>
          <t>使用者回報早餐攝取26g蛋白質乳清；未提供品牌、粉重、熱量或碳水，因此僅記錄蛋白質。</t>
        </is>
      </c>
      <c r="H247" s="45" t="inlineStr"/>
    </row>
    <row r="248">
      <c r="A248" s="441" t="n">
        <v>46277</v>
      </c>
      <c r="B248" s="42" t="inlineStr">
        <is>
          <t>午餐</t>
        </is>
      </c>
      <c r="C248" s="36" t="inlineStr">
        <is>
          <t>使用者回報＋IKEA官方品項確認＋透明估算</t>
        </is>
      </c>
      <c r="D248" s="45" t="inlineStr">
        <is>
          <t>IKEA 瑞典雞肉丸 8 顆 + 馬鈴薯泥</t>
        </is>
      </c>
      <c r="E248" s="45" t="n">
        <v>21</v>
      </c>
      <c r="F248" s="45" t="n">
        <v>430</v>
      </c>
      <c r="G248" s="45" t="inlineStr">
        <is>
          <t>IKEA 台灣官方菜單可確認 8 顆瑞典雞肉丸主餐搭配薯泥；使用者僅明確回報雞肉丸 8 顆與馬鈴薯泥，因此不另計未提及的雙色蔬菜、肉丸奶醬或越橘果醬。未提供實際薯泥重量；雞肉丸參考 HUVUDROLL 公開營養資料並以一般 8 顆餐廳份量估算，整份先記約蛋白質 21g、碳水 35g、430 kcal，實際份量可能有明顯差異。</t>
        </is>
      </c>
      <c r="H248" s="45" t="n">
        <v>35</v>
      </c>
    </row>
    <row r="249">
      <c r="A249" s="441" t="n">
        <v>46277</v>
      </c>
      <c r="B249" s="42" t="inlineStr">
        <is>
          <t>晚餐</t>
        </is>
      </c>
      <c r="C249" s="36" t="inlineStr">
        <is>
          <t>使用者回報＋既有同品項透明估算</t>
        </is>
      </c>
      <c r="D249" s="45" t="inlineStr">
        <is>
          <t>雞肉飯 1 碗</t>
        </is>
      </c>
      <c r="E249" s="45" t="n">
        <v>25</v>
      </c>
      <c r="F249" s="45" t="n">
        <v>500</v>
      </c>
      <c r="G249" s="45" t="inlineStr">
        <is>
          <t>沿用追蹤表 2026-09-08 相同『雞肉飯 1 碗』估算：約蛋白質 25g、碳水 65g、500 kcal；未提供店家與份量，實際依飯量、雞肉量與雞油而變動。</t>
        </is>
      </c>
      <c r="H249" s="45" t="n">
        <v>65</v>
      </c>
    </row>
    <row r="250">
      <c r="A250" s="441" t="n">
        <v>46277</v>
      </c>
      <c r="B250" s="42" t="inlineStr">
        <is>
          <t>晚餐</t>
        </is>
      </c>
      <c r="C250" s="36" t="inlineStr">
        <is>
          <t>使用者回報</t>
        </is>
      </c>
      <c r="D250" s="45" t="inlineStr">
        <is>
          <t>晚間額外蛋白質 52g</t>
        </is>
      </c>
      <c r="E250" s="45" t="n">
        <v>52</v>
      </c>
      <c r="F250" s="45" t="inlineStr"/>
      <c r="G250" s="45" t="inlineStr">
        <is>
          <t>使用者回報 2026-09-12 晚上另外攝取蛋白質 52g；未提供品牌、來源、熱量或碳水，因此僅記錄蛋白質，其餘不猜。</t>
        </is>
      </c>
      <c r="H250" s="45" t="inlineStr"/>
    </row>
    <row r="251">
      <c r="A251" s="441" t="n">
        <v>46278</v>
      </c>
      <c r="B251" s="42" t="inlineStr">
        <is>
          <t>早餐</t>
        </is>
      </c>
      <c r="C251" s="36" t="inlineStr">
        <is>
          <t>使用者回報</t>
        </is>
      </c>
      <c r="D251" s="45" t="inlineStr">
        <is>
          <t>未進食</t>
        </is>
      </c>
      <c r="E251" s="45" t="n">
        <v>0</v>
      </c>
      <c r="F251" s="45" t="n">
        <v>0</v>
      </c>
      <c r="G251" s="45" t="inlineStr">
        <is>
          <t>使用者明確回報早上沒有吃東西。</t>
        </is>
      </c>
      <c r="H251" s="45" t="n">
        <v>0</v>
      </c>
    </row>
    <row r="252">
      <c r="A252" s="441" t="n">
        <v>46278</v>
      </c>
      <c r="B252" s="42" t="inlineStr">
        <is>
          <t>午餐</t>
        </is>
      </c>
      <c r="C252" s="36" t="inlineStr">
        <is>
          <t>使用者回報＋麥當勞台灣現售品項確認＋透明估算</t>
        </is>
      </c>
      <c r="D252" s="45" t="inlineStr">
        <is>
          <t>麥當勞 雙層麥香魚 1 個 + 大薯 1 份</t>
        </is>
      </c>
      <c r="E252" s="45" t="n">
        <v>30.6</v>
      </c>
      <c r="F252" s="45" t="n">
        <v>958</v>
      </c>
      <c r="G252" s="45" t="inlineStr">
        <is>
          <t>麥當勞台灣官網目前可確認雙層麥香魚與大薯為現售品項。雙層麥香魚完整營養數字官網動態頁未直接顯示，本筆沿用公開歷史同品項資料約 485 kcal、蛋白質 23.2g、碳水 43.3g；大薯採近期整理約 473 kcal、蛋白質 7.4g、碳水 63g。合計約 958 kcal、蛋白質 30.6g、碳水 106.3g；實際配方或份量若有更新會有誤差。</t>
        </is>
      </c>
      <c r="H252" s="45" t="n">
        <v>106.3</v>
      </c>
    </row>
    <row r="253">
      <c r="A253" s="441" t="n">
        <v>46278</v>
      </c>
      <c r="B253" s="42" t="inlineStr">
        <is>
          <t>午餐</t>
        </is>
      </c>
      <c r="C253" s="36" t="inlineStr">
        <is>
          <t>使用者回報</t>
        </is>
      </c>
      <c r="D253" s="45" t="inlineStr">
        <is>
          <t>額外蛋白質 52g</t>
        </is>
      </c>
      <c r="E253" s="45" t="n">
        <v>52</v>
      </c>
      <c r="F253" s="45" t="inlineStr"/>
      <c r="G253" s="45" t="inlineStr">
        <is>
          <t>使用者回報午餐另外攝取蛋白質 52g；未提供來源、品牌、熱量或碳水，因此僅記錄蛋白質，其餘不猜。</t>
        </is>
      </c>
      <c r="H253" s="45" t="inlineStr"/>
    </row>
    <row r="254">
      <c r="A254" s="441" t="n">
        <v>46278</v>
      </c>
      <c r="B254" s="42" t="inlineStr">
        <is>
          <t>晚餐</t>
        </is>
      </c>
      <c r="C254" s="36" t="inlineStr">
        <is>
          <t>使用者回報＋Pizza Hut 台灣官方現售品項確認</t>
        </is>
      </c>
      <c r="D254" s="45" t="inlineStr">
        <is>
          <t>Pizza Hut 極炙厚牛干貝海陸披薩 2 片</t>
        </is>
      </c>
      <c r="E254" s="45" t="inlineStr"/>
      <c r="F254" s="45" t="inlineStr"/>
      <c r="G254" s="45" t="inlineStr">
        <is>
          <t>Pizza Hut 台灣官方目前現售『極炙厚牛干貝海陸』，配料含炭火風燒牛肉、干貝、櫛瓜、番茄、洋蔥、莫札瑞拉起司、BBQ醬、炭火燒肉醬與明太子醬。使用者回報吃 2 片；未提供餅皮，官方頁面亦未提供可直接核對的完整營養標示，因此蛋白質、碳水與熱量留空，不自行猜測。</t>
        </is>
      </c>
      <c r="H254" s="45" t="inlineStr"/>
    </row>
    <row r="255">
      <c r="A255" s="441" t="n">
        <v>46278</v>
      </c>
      <c r="B255" s="42" t="inlineStr">
        <is>
          <t>晚餐</t>
        </is>
      </c>
      <c r="C255" s="36" t="inlineStr">
        <is>
          <t>使用者回報</t>
        </is>
      </c>
      <c r="D255" s="45" t="inlineStr">
        <is>
          <t>晚間額外蛋白質 52g</t>
        </is>
      </c>
      <c r="E255" s="45" t="n">
        <v>52</v>
      </c>
      <c r="F255" s="45" t="inlineStr"/>
      <c r="G255" s="45" t="inlineStr">
        <is>
          <t>使用者於 2026-09-14 00:44 延續 2026-09-13 晚餐與當日蛋白質紀錄，回報晚上另外喝了蛋白質 52g；依上下文歸入 2026-09-13 晚餐追加。未提供品牌、來源、熱量或碳水，因此僅記錄蛋白質 52g，其餘不猜。</t>
        </is>
      </c>
      <c r="H255" s="45" t="inlineStr"/>
    </row>
    <row r="256">
      <c r="A256" s="441" t="n">
        <v>46279</v>
      </c>
      <c r="B256" s="42" t="inlineStr">
        <is>
          <t>早餐</t>
        </is>
      </c>
      <c r="C256" s="36" t="inlineStr">
        <is>
          <t>使用者回報＋既有固定估算</t>
        </is>
      </c>
      <c r="D256" s="45" t="inlineStr">
        <is>
          <t>地瓜 1 份 + 雞胸肉 1 份</t>
        </is>
      </c>
      <c r="E256" s="45" t="n">
        <v>32</v>
      </c>
      <c r="F256" s="45" t="n">
        <v>285</v>
      </c>
      <c r="G256" s="45" t="inlineStr">
        <is>
          <t>沿用追蹤表既有相同組合設定：地瓜 1 份約蛋白質 2g、碳水 35g、125 kcal；雞胸肉 1 份約蛋白質 30g、160 kcal。</t>
        </is>
      </c>
      <c r="H256" s="45" t="n">
        <v>35</v>
      </c>
    </row>
    <row r="257">
      <c r="A257" s="441" t="n">
        <v>46279</v>
      </c>
      <c r="B257" s="42" t="inlineStr">
        <is>
          <t>午餐</t>
        </is>
      </c>
      <c r="C257" s="36" t="inlineStr">
        <is>
          <t>使用者回報＋沿用既有同品項透明估算</t>
        </is>
      </c>
      <c r="D257" s="45" t="inlineStr">
        <is>
          <t>三商鮮五丼 麻婆魚排套餐</t>
        </is>
      </c>
      <c r="E257" s="45" t="n">
        <v>30</v>
      </c>
      <c r="F257" s="45" t="n">
        <v>850</v>
      </c>
      <c r="G257" s="45" t="inlineStr">
        <is>
          <t>沿用追蹤表 2026-08-18 相同品項估算：約蛋白質 30g、碳水 105g、850 kcal。店家未提供完整營養標示，實際熱量仍會受飯量、炸魚排吸油與麻婆醬份量影響。</t>
        </is>
      </c>
      <c r="H257" s="45" t="n">
        <v>105</v>
      </c>
    </row>
    <row r="258">
      <c r="A258" s="441" t="n">
        <v>46279</v>
      </c>
      <c r="B258" s="42" t="inlineStr">
        <is>
          <t>午餐</t>
        </is>
      </c>
      <c r="C258" s="36" t="inlineStr">
        <is>
          <t>使用者回報</t>
        </is>
      </c>
      <c r="D258" s="45" t="inlineStr">
        <is>
          <t>額外蛋白質 52g</t>
        </is>
      </c>
      <c r="E258" s="45" t="n">
        <v>52</v>
      </c>
      <c r="F258" s="45" t="inlineStr"/>
      <c r="G258" s="45" t="inlineStr">
        <is>
          <t>使用者回報午餐另外攝取蛋白質 52g；未提供來源、品牌、熱量或碳水，因此僅記錄蛋白質，其餘不猜。</t>
        </is>
      </c>
      <c r="H258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DRAX 槓片式腿推機</t>
        </is>
      </c>
      <c r="B2" t="n">
        <v>40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2026-09-14</t>
        </is>
      </c>
      <c r="F2" t="n">
        <v>40</v>
      </c>
      <c r="G2" t="n">
        <v>12</v>
      </c>
      <c r="H2" t="n">
        <v>2</v>
      </c>
      <c r="I2" s="449" t="inlineStr">
        <is>
          <t>40kg×15/DBR4；40kg×15/DBR3；40kg×15/DBR1；40kg×12/DBR2</t>
        </is>
      </c>
      <c r="J2" s="449" t="inlineStr">
        <is>
          <t>正常</t>
        </is>
      </c>
      <c r="K2" s="449" t="inlineStr">
        <is>
          <t>最近一次訓練中 40 kg 有 3 組落在約 8–20 下、DBR1–3；以可重複的工作組表現優先，不直接選最高重量。</t>
        </is>
      </c>
    </row>
    <row r="3">
      <c r="A3" t="inlineStr">
        <is>
          <t>上斜胸推</t>
        </is>
      </c>
      <c r="B3" t="inlineStr"/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20</v>
      </c>
      <c r="G3" t="n">
        <v>12</v>
      </c>
      <c r="H3" t="n">
        <v>1</v>
      </c>
      <c r="I3" s="449" t="inlineStr">
        <is>
          <t>25kg×15/DBR1；25kg×13/DBR1；25kg×9/DBR0；20kg×12/DBR1</t>
        </is>
      </c>
      <c r="J3" s="449" t="inlineStr">
        <is>
          <t>疼痛／不適：暫不自動推薦重量</t>
        </is>
      </c>
      <c r="K3" s="449" t="inlineStr">
        <is>
          <t>最近一次訓練備註出現疼痛／不適；保留歷史重量，但下次先確認無痛，不依重量基準直接加載。</t>
        </is>
      </c>
    </row>
    <row r="4">
      <c r="A4" t="inlineStr">
        <is>
          <t>保加利亞分腿蹲</t>
        </is>
      </c>
      <c r="B4" t="n">
        <v>10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2026-09-11</t>
        </is>
      </c>
      <c r="F4" t="n">
        <v>10</v>
      </c>
      <c r="G4" t="n">
        <v>10</v>
      </c>
      <c r="H4" t="n">
        <v>1</v>
      </c>
      <c r="I4" s="449" t="inlineStr">
        <is>
          <t>左10kg×15/DBR2；左10kg×15/DBR2；左10kg×12/DBR2；左10kg×12/DBR2；左10kg×13/DBR2；右10kg×10/DBR2；左10kg×12/DBR1；右10kg×10/DBR1</t>
        </is>
      </c>
      <c r="J4" s="449" t="inlineStr">
        <is>
          <t>正常</t>
        </is>
      </c>
      <c r="K4" s="449" t="inlineStr">
        <is>
          <t>最近一次訓練中 10 kg 有 8 組落在約 8–20 下、DBR1–3；以可重複的工作組表現優先，不直接選最高重量。</t>
        </is>
      </c>
    </row>
    <row r="5">
      <c r="A5" t="inlineStr">
        <is>
          <t>划船</t>
        </is>
      </c>
      <c r="B5" t="n">
        <v>26.5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2026-09-07</t>
        </is>
      </c>
      <c r="F5" t="n">
        <v>30</v>
      </c>
      <c r="G5" t="n">
        <v>13</v>
      </c>
      <c r="H5" t="n">
        <v>0</v>
      </c>
      <c r="I5" s="449" t="inlineStr">
        <is>
          <t>26.5kg×15/DBR4；26.5kg×15/DBR2；30kg×13/DBR2；30kg×13/DBR0；30kg×13/DBR0</t>
        </is>
      </c>
      <c r="J5" s="449" t="inlineStr">
        <is>
          <t>正常</t>
        </is>
      </c>
      <c r="K5" s="449" t="inlineStr">
        <is>
          <t>最近一次訓練中 26.5 kg 有 1 組落在約 8–20 下、DBR1–3；以可重複的工作組表現優先，不直接選最高重量。</t>
        </is>
      </c>
    </row>
    <row r="6">
      <c r="A6" t="inlineStr">
        <is>
          <t>反向飛鳥</t>
        </is>
      </c>
      <c r="B6" t="n">
        <v>15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2026-09-11</t>
        </is>
      </c>
      <c r="F6" t="n">
        <v>15</v>
      </c>
      <c r="G6" t="n">
        <v>11</v>
      </c>
      <c r="H6" t="n">
        <v>1</v>
      </c>
      <c r="I6" s="449" t="inlineStr">
        <is>
          <t>15kg×15/DBR3；15kg×15/DBR1；15kg×13/DBR1；15kg×13/DBR1；15kg×11/DBR1</t>
        </is>
      </c>
      <c r="J6" s="449" t="inlineStr">
        <is>
          <t>正常</t>
        </is>
      </c>
      <c r="K6" s="449" t="inlineStr">
        <is>
          <t>最近一次訓練中 15 kg 有 5 組落在約 8–20 下、DBR1–3；以可重複的工作組表現優先，不直接選最高重量。</t>
        </is>
      </c>
    </row>
    <row r="7">
      <c r="A7" t="inlineStr">
        <is>
          <t>啞鈴側平舉</t>
        </is>
      </c>
      <c r="B7" t="n">
        <v>10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2026-09-07</t>
        </is>
      </c>
      <c r="F7" t="n">
        <v>10</v>
      </c>
      <c r="G7" t="n">
        <v>15</v>
      </c>
      <c r="H7" t="n">
        <v>0</v>
      </c>
      <c r="I7" s="449" t="inlineStr">
        <is>
          <t>10kg×15/DBR1；10kg×13/DBR1；10kg×14/DBR1；10kg×15/DBR0</t>
        </is>
      </c>
      <c r="J7" s="449" t="inlineStr">
        <is>
          <t>正常</t>
        </is>
      </c>
      <c r="K7" s="449" t="inlineStr">
        <is>
          <t>最近一次訓練中 10 kg 有 3 組落在約 8–20 下、DBR1–3；以可重複的工作組表現優先，不直接選最高重量。</t>
        </is>
      </c>
    </row>
    <row r="8">
      <c r="A8" t="inlineStr">
        <is>
          <t>滑輪下拉</t>
        </is>
      </c>
      <c r="B8" t="n">
        <v>37.5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2026-09-11</t>
        </is>
      </c>
      <c r="F8" t="n">
        <v>37.5</v>
      </c>
      <c r="G8" t="n">
        <v>8</v>
      </c>
      <c r="H8" t="n">
        <v>0</v>
      </c>
      <c r="I8" s="449" t="inlineStr">
        <is>
          <t>37.5kg×13/DBR2；37.5kg×13/DBR2；37.5kg×11/DBR1；37.5kg×8/DBR0</t>
        </is>
      </c>
      <c r="J8" s="449" t="inlineStr">
        <is>
          <t>正常</t>
        </is>
      </c>
      <c r="K8" s="449" t="inlineStr">
        <is>
          <t>最近一次訓練中 37.5 kg 有 3 組落在約 8–20 下、DBR1–3；以可重複的工作組表現優先，不直接選最高重量。</t>
        </is>
      </c>
    </row>
    <row r="9">
      <c r="A9" t="inlineStr">
        <is>
          <t>睾丸繩下拉</t>
        </is>
      </c>
      <c r="B9" t="n">
        <v>6.25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2026-08-14</t>
        </is>
      </c>
      <c r="F9" t="n">
        <v>6.25</v>
      </c>
      <c r="G9" t="n">
        <v>11</v>
      </c>
      <c r="H9" t="n">
        <v>0</v>
      </c>
      <c r="I9" s="449" t="inlineStr">
        <is>
          <t>8.75kg×11/DBR0；8.75kg×10/DBR0；6.25kg×13/DBR0；6.25kg×13/DBR0；6.25kg×11/DBR0</t>
        </is>
      </c>
      <c r="J9" s="449" t="inlineStr">
        <is>
          <t>正常</t>
        </is>
      </c>
      <c r="K9" s="449" t="inlineStr">
        <is>
          <t>最近一次已知組多為力竭；下次採該次較低重量重新建立 DBR1–3 的工作組。</t>
        </is>
      </c>
    </row>
    <row r="10">
      <c r="A10" t="inlineStr">
        <is>
          <t>羅馬尼亞分腿蹲</t>
        </is>
      </c>
      <c r="B10" t="n">
        <v>10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10</v>
      </c>
      <c r="G10" t="n">
        <v>11</v>
      </c>
      <c r="H10" t="n">
        <v>1</v>
      </c>
      <c r="I10" s="449" t="inlineStr">
        <is>
          <t>左10kg×15/DBR3；右10kg×15/DBR3；左10kg×15/DBR2；右10kg×15/DBR2；左10kg×15/DBR1；右10kg×11/DBR1；左10kg×11/DBR2；右10kg×11/DBR1</t>
        </is>
      </c>
      <c r="J10" s="449" t="inlineStr">
        <is>
          <t>正常</t>
        </is>
      </c>
      <c r="K10" s="449" t="inlineStr">
        <is>
          <t>最近一次訓練中 10 kg 有 8 組落在約 8–20 下、DBR1–3；以可重複的工作組表現優先，不直接選最高重量。</t>
        </is>
      </c>
    </row>
    <row r="11">
      <c r="A11" t="inlineStr">
        <is>
          <t>羅馬尼亞蹲</t>
        </is>
      </c>
      <c r="B11" t="n">
        <v>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2026-08-12</t>
        </is>
      </c>
      <c r="F11" t="n">
        <v>5</v>
      </c>
      <c r="G11" t="n">
        <v>14</v>
      </c>
      <c r="H11" t="n">
        <v>0</v>
      </c>
      <c r="I11" s="449" t="inlineStr">
        <is>
          <t>左自重×15/DBR3；右自重×15/DBR3；左5kg×15/DBR2；右5kg×8/DBR0；左5kg×14/DBR0；右5kg×14/DBR0；左5kg×14/DBR0；右5kg×14/DBR0</t>
        </is>
      </c>
      <c r="J11" s="449" t="inlineStr">
        <is>
          <t>正常</t>
        </is>
      </c>
      <c r="K11" s="449" t="inlineStr">
        <is>
          <t>最近一次訓練中 5 kg 有 1 組落在約 8–20 下、DBR1–3；以可重複的工作組表現優先，不直接選最高重量。</t>
        </is>
      </c>
    </row>
    <row r="12">
      <c r="A12" t="inlineStr">
        <is>
          <t>腿內收</t>
        </is>
      </c>
      <c r="B12" t="n">
        <v>37.5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2026-09-11</t>
        </is>
      </c>
      <c r="F12" t="n">
        <v>37.5</v>
      </c>
      <c r="G12" t="n">
        <v>13</v>
      </c>
      <c r="H12" t="n">
        <v>0</v>
      </c>
      <c r="I12" s="449" t="inlineStr">
        <is>
          <t>37.5kg×13/DBR2；37.5kg×13/DBR1；37.5kg×13/DBR1；37.5kg×13/DBR0</t>
        </is>
      </c>
      <c r="J12" s="449" t="inlineStr">
        <is>
          <t>正常</t>
        </is>
      </c>
      <c r="K12" s="449" t="inlineStr">
        <is>
          <t>最近一次訓練中 37.5 kg 有 3 組落在約 8–20 下、DBR1–3；以可重複的工作組表現優先，不直接選最高重量。</t>
        </is>
      </c>
    </row>
    <row r="13">
      <c r="A13" t="inlineStr">
        <is>
          <t>腿外展</t>
        </is>
      </c>
      <c r="B13" t="n">
        <v>45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45</v>
      </c>
      <c r="G13" t="n">
        <v>15</v>
      </c>
      <c r="H13" t="n">
        <v>2</v>
      </c>
      <c r="I13" s="449" t="inlineStr">
        <is>
          <t>40.8kg×15/DBR4；48.75kg×15/DBR1；45kg×15/DBR1；45kg×12/DBR2；45kg×15/DBR2</t>
        </is>
      </c>
      <c r="J13" s="449" t="inlineStr">
        <is>
          <t>正常</t>
        </is>
      </c>
      <c r="K13" s="449" t="inlineStr">
        <is>
          <t>最近一次訓練中 45 kg 有 3 組落在約 8–20 下、DBR1–3；以可重複的工作組表現優先，不直接選最高重量。</t>
        </is>
      </c>
    </row>
    <row r="14">
      <c r="A14" t="inlineStr">
        <is>
          <t>腿後勾</t>
        </is>
      </c>
      <c r="B14" t="n">
        <v>47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2026-09-07</t>
        </is>
      </c>
      <c r="F14" t="n">
        <v>47</v>
      </c>
      <c r="G14" t="n">
        <v>13</v>
      </c>
      <c r="H14" t="n">
        <v>0</v>
      </c>
      <c r="I14" s="449" t="inlineStr">
        <is>
          <t>40kg×15/DBR3；47kg×15/DBR1；47kg×12/DBR1；47kg×13/DBR0</t>
        </is>
      </c>
      <c r="J14" s="449" t="inlineStr">
        <is>
          <t>正常</t>
        </is>
      </c>
      <c r="K14" s="449" t="inlineStr">
        <is>
          <t>最近一次訓練中 47 kg 有 2 組落在約 8–20 下、DBR1–3；以可重複的工作組表現優先，不直接選最高重量。</t>
        </is>
      </c>
    </row>
    <row r="15">
      <c r="A15" t="inlineStr">
        <is>
          <t>腿推舉</t>
        </is>
      </c>
      <c r="B15" t="n">
        <v>40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2026-08-04</t>
        </is>
      </c>
      <c r="F15" t="n">
        <v>40</v>
      </c>
      <c r="G15" t="n">
        <v>16</v>
      </c>
      <c r="H15" t="n">
        <v>0</v>
      </c>
      <c r="I15" s="449" t="inlineStr">
        <is>
          <t>40kg×16/DBR3；40kg×18/DBR2；40kg×16/DBR1；40kg×16/DBR0</t>
        </is>
      </c>
      <c r="J15" s="449" t="inlineStr">
        <is>
          <t>正常</t>
        </is>
      </c>
      <c r="K15" s="449" t="inlineStr">
        <is>
          <t>最近一次訓練中 40 kg 有 3 組落在約 8–20 下、DBR1–3；以可重複的工作組表現優先，不直接選最高重量。</t>
        </is>
      </c>
    </row>
    <row r="16">
      <c r="A16" t="inlineStr">
        <is>
          <t>臀推機</t>
        </is>
      </c>
      <c r="B16" t="inlineStr"/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12</v>
      </c>
      <c r="H16" t="n">
        <v>2</v>
      </c>
      <c r="I16" s="449" t="inlineStr">
        <is>
          <t>20kg×12/DBR3；20kg×12/DBR2；20kg×12/DBR2</t>
        </is>
      </c>
      <c r="J16" s="449" t="inlineStr">
        <is>
          <t>疼痛／不適：暫不自動推薦重量</t>
        </is>
      </c>
      <c r="K16" s="449" t="inlineStr">
        <is>
          <t>最近一次訓練備註出現疼痛／不適；保留歷史重量，但下次先確認無痛，不依重量基準直接加載。</t>
        </is>
      </c>
    </row>
    <row r="17">
      <c r="A17" t="inlineStr">
        <is>
          <t>蝴蝶機夾胸</t>
        </is>
      </c>
      <c r="B17" t="n">
        <v>25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2026-08-12</t>
        </is>
      </c>
      <c r="F17" t="n">
        <v>20</v>
      </c>
      <c r="G17" t="n">
        <v>13</v>
      </c>
      <c r="H17" t="n">
        <v>0</v>
      </c>
      <c r="I17" s="449" t="inlineStr">
        <is>
          <t>25kg×15/DBR3；20kg×15/DBR0；25kg×7/DBR0；20kg×13/DBR0</t>
        </is>
      </c>
      <c r="J17" s="449" t="inlineStr">
        <is>
          <t>正常</t>
        </is>
      </c>
      <c r="K17" s="449" t="inlineStr">
        <is>
          <t>最近一次訓練中 25 kg 有 1 組落在約 8–20 下、DBR1–3；以可重複的工作組表現優先，不直接選最高重量。</t>
        </is>
      </c>
    </row>
    <row r="18">
      <c r="A18" t="inlineStr">
        <is>
          <t>飛鳥夾胸</t>
        </is>
      </c>
      <c r="B18" t="n">
        <v>20</v>
      </c>
      <c r="C18" t="inlineStr">
        <is>
          <t>10–15（特殊動作可依既有表現調整）</t>
        </is>
      </c>
      <c r="D18" t="inlineStr">
        <is>
          <t>1–3；最後一組可視情況 DBR0</t>
        </is>
      </c>
      <c r="E18" t="inlineStr">
        <is>
          <t>2026-08-28</t>
        </is>
      </c>
      <c r="F18" t="n">
        <v>20</v>
      </c>
      <c r="G18" t="n">
        <v>10</v>
      </c>
      <c r="H18" t="n">
        <v>0</v>
      </c>
      <c r="I18" s="449" t="inlineStr">
        <is>
          <t>20kg×15/DBR3；20kg×14/DBR2；20kg×12/DBR1；20kg×10/DBR0</t>
        </is>
      </c>
      <c r="J18" s="449" t="inlineStr">
        <is>
          <t>正常</t>
        </is>
      </c>
      <c r="K18" s="449" t="inlineStr">
        <is>
          <t>最近一次訓練中 20 kg 有 3 組落在約 8–20 下、DBR1–3；以可重複的工作組表現優先，不直接選最高重量。</t>
        </is>
      </c>
    </row>
  </sheetData>
  <autoFilter ref="A1:K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2026-09-14T11:45:25Z</dcterms:modified>
</cp:coreProperties>
</file>