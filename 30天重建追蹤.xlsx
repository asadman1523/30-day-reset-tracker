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'動作基準'!$A$1:$K$19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  <row r="41">
      <c r="A41" s="450" t="n">
        <v>46279</v>
      </c>
      <c r="B41" s="451" t="n"/>
      <c r="C41" s="222" t="n"/>
      <c r="D41" s="218" t="n"/>
      <c r="E41" s="44" t="n"/>
      <c r="F41" s="44" t="n"/>
      <c r="G41" s="218" t="n"/>
      <c r="H41" s="218" t="n">
        <v>0</v>
      </c>
      <c r="I41" s="218" t="n"/>
      <c r="J41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>
        <v>46279</v>
      </c>
      <c r="B206" s="34" t="inlineStr">
        <is>
          <t>重訓</t>
        </is>
      </c>
      <c r="C206" s="34" t="inlineStr">
        <is>
          <t>DRAX 槓片式腿推機</t>
        </is>
      </c>
      <c r="D206" s="410" t="n">
        <v>3</v>
      </c>
      <c r="E206" s="411" t="n">
        <v>40</v>
      </c>
      <c r="F206" s="411" t="n">
        <v>15</v>
      </c>
      <c r="G206" s="411" t="n">
        <v>1</v>
      </c>
      <c r="H206" s="412">
        <f>IF(OR(E206="",F206=""),"",E206*F206)</f>
        <v/>
      </c>
      <c r="I206" s="44" t="inlineStr">
        <is>
          <t>重量未重複提供，沿用上一組 40 kg。照片中腳位為踏板中上區、約肩寬。</t>
        </is>
      </c>
    </row>
    <row r="207">
      <c r="A207" s="403" t="n">
        <v>46279</v>
      </c>
      <c r="B207" s="34" t="inlineStr">
        <is>
          <t>重訓</t>
        </is>
      </c>
      <c r="C207" s="34" t="inlineStr">
        <is>
          <t>DRAX 槓片式腿推機</t>
        </is>
      </c>
      <c r="D207" s="410" t="n">
        <v>4</v>
      </c>
      <c r="E207" s="411" t="n">
        <v>40</v>
      </c>
      <c r="F207" s="411" t="n">
        <v>12</v>
      </c>
      <c r="G207" s="411" t="n">
        <v>2</v>
      </c>
      <c r="H207" s="412">
        <f>IF(OR(E207="",F207=""),"",E207*F207)</f>
        <v/>
      </c>
      <c r="I207" s="44" t="inlineStr">
        <is>
          <t>重量未重複提供，沿用上一組 40 kg。</t>
        </is>
      </c>
    </row>
    <row r="208">
      <c r="A208" s="403" t="n">
        <v>46279</v>
      </c>
      <c r="B208" s="34" t="inlineStr">
        <is>
          <t>重訓</t>
        </is>
      </c>
      <c r="C208" s="34" t="inlineStr">
        <is>
          <t>腿後勾</t>
        </is>
      </c>
      <c r="D208" s="410" t="n">
        <v>1</v>
      </c>
      <c r="E208" s="411" t="n">
        <v>47</v>
      </c>
      <c r="F208" s="411" t="n">
        <v>15</v>
      </c>
      <c r="G208" s="411" t="n">
        <v>2</v>
      </c>
      <c r="H208" s="412">
        <f>IF(OR(E208="",F208=""),"",E208*F208)</f>
        <v/>
      </c>
      <c r="I208" s="44" t="inlineStr">
        <is>
          <t>使用者回報 47 kg × 15，DBR2；照片為坐姿腿後勾機。</t>
        </is>
      </c>
    </row>
    <row r="209">
      <c r="A209" s="403" t="n">
        <v>46279</v>
      </c>
      <c r="B209" s="34" t="inlineStr">
        <is>
          <t>重訓</t>
        </is>
      </c>
      <c r="C209" s="34" t="inlineStr">
        <is>
          <t>腿後勾</t>
        </is>
      </c>
      <c r="D209" s="410" t="n">
        <v>2</v>
      </c>
      <c r="E209" s="411" t="n">
        <v>47</v>
      </c>
      <c r="F209" s="411" t="n">
        <v>12</v>
      </c>
      <c r="G209" s="411" t="n">
        <v>2</v>
      </c>
      <c r="H209" s="412">
        <f>IF(OR(E209="",F209=""),"",E209*F209)</f>
        <v/>
      </c>
      <c r="I209" s="44" t="inlineStr">
        <is>
          <t>重量未重複提供，沿用上一組 47 kg。</t>
        </is>
      </c>
    </row>
    <row r="210">
      <c r="A210" s="403" t="n">
        <v>46279</v>
      </c>
      <c r="B210" s="34" t="inlineStr">
        <is>
          <t>重訓</t>
        </is>
      </c>
      <c r="C210" s="34" t="inlineStr">
        <is>
          <t>腿後勾</t>
        </is>
      </c>
      <c r="D210" s="410" t="n">
        <v>3</v>
      </c>
      <c r="E210" s="411" t="n">
        <v>47</v>
      </c>
      <c r="F210" s="411" t="n">
        <v>12</v>
      </c>
      <c r="G210" s="411" t="n">
        <v>1</v>
      </c>
      <c r="H210" s="412">
        <f>IF(OR(E210="",F210=""),"",E210*F210)</f>
        <v/>
      </c>
      <c r="I210" s="44" t="inlineStr">
        <is>
          <t>重量未重複提供，沿用上一組 47 kg。</t>
        </is>
      </c>
    </row>
    <row r="211">
      <c r="A211" s="403" t="n">
        <v>46279</v>
      </c>
      <c r="B211" s="34" t="inlineStr">
        <is>
          <t>重訓</t>
        </is>
      </c>
      <c r="C211" s="34" t="inlineStr">
        <is>
          <t>腿後勾</t>
        </is>
      </c>
      <c r="D211" s="410" t="n">
        <v>4</v>
      </c>
      <c r="E211" s="411" t="n">
        <v>47</v>
      </c>
      <c r="F211" s="411" t="n">
        <v>12</v>
      </c>
      <c r="G211" s="411" t="n">
        <v>0</v>
      </c>
      <c r="H211" s="412">
        <f>IF(OR(E211="",F211=""),"",E211*F211)</f>
        <v/>
      </c>
      <c r="I211" s="44" t="inlineStr">
        <is>
          <t>重量未重複提供，沿用上一組 47 kg。</t>
        </is>
      </c>
    </row>
    <row r="212">
      <c r="A212" s="403" t="n">
        <v>46279</v>
      </c>
      <c r="B212" s="34" t="inlineStr">
        <is>
          <t>重訓</t>
        </is>
      </c>
      <c r="C212" s="34" t="inlineStr">
        <is>
          <t>Gymleco Active Line 321 Chest Press</t>
        </is>
      </c>
      <c r="D212" s="410" t="n">
        <v>1</v>
      </c>
      <c r="E212" s="411" t="n">
        <v>25</v>
      </c>
      <c r="F212" s="411" t="n">
        <v>15</v>
      </c>
      <c r="G212" s="411" t="n">
        <v>1</v>
      </c>
      <c r="H212" s="412">
        <f>IF(OR(E212="",F212=""),"",E212*F212)</f>
        <v/>
      </c>
      <c r="I212" s="44" t="inlineStr">
        <is>
          <t>使用者確認插銷位於 25 kg；照片確認機型為 Gymleco Active Line 321 Chest Press。</t>
        </is>
      </c>
    </row>
    <row r="213">
      <c r="A213" s="403" t="n">
        <v>46279</v>
      </c>
      <c r="B213" s="34" t="inlineStr">
        <is>
          <t>重訓</t>
        </is>
      </c>
      <c r="C213" s="34" t="inlineStr">
        <is>
          <t>Gymleco Active Line 321 Chest Press</t>
        </is>
      </c>
      <c r="D213" s="410" t="n">
        <v>2</v>
      </c>
      <c r="E213" s="411" t="n">
        <v>25</v>
      </c>
      <c r="F213" s="411" t="n">
        <v>15</v>
      </c>
      <c r="G213" s="411" t="n">
        <v>1</v>
      </c>
      <c r="H213" s="412">
        <f>IF(OR(E213="",F213=""),"",E213*F213)</f>
        <v/>
      </c>
      <c r="I213" s="44" t="inlineStr">
        <is>
          <t>重量未重複提供，沿用上一組 25 kg。</t>
        </is>
      </c>
    </row>
    <row r="214">
      <c r="A214" s="403" t="n">
        <v>46279</v>
      </c>
      <c r="B214" s="34" t="inlineStr">
        <is>
          <t>重訓</t>
        </is>
      </c>
      <c r="C214" s="34" t="inlineStr">
        <is>
          <t>Gymleco Active Line 321 Chest Press</t>
        </is>
      </c>
      <c r="D214" s="410" t="n">
        <v>3</v>
      </c>
      <c r="E214" s="411" t="n">
        <v>30</v>
      </c>
      <c r="F214" s="411" t="n">
        <v>15</v>
      </c>
      <c r="G214" s="411" t="n">
        <v>1</v>
      </c>
      <c r="H214" s="412">
        <f>IF(OR(E214="",F214=""),"",E214*F214)</f>
        <v/>
      </c>
      <c r="I214" s="44" t="inlineStr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  <row r="259">
      <c r="A259" s="441" t="n">
        <v>46279</v>
      </c>
      <c r="B259" s="42" t="inlineStr">
        <is>
          <t>晚餐</t>
        </is>
      </c>
      <c r="C259" s="36" t="inlineStr">
        <is>
          <t>使用者回報</t>
        </is>
      </c>
      <c r="D259" s="45" t="inlineStr">
        <is>
          <t>鹽水雞：雞胸肉 1 塊 + 6 樣菜</t>
        </is>
      </c>
      <c r="E259" s="45" t="inlineStr"/>
      <c r="F259" s="45" t="inlineStr"/>
      <c r="G259" s="45" t="inlineStr">
        <is>
          <t>使用者回報晚餐吃鹽水雞：雞胸肉 1 塊與 6 樣菜。未提供雞胸肉重量、6 樣菜的種類與份量，因此依規則不猜蛋白質、碳水或熱量，營養數值暫留空白。</t>
        </is>
      </c>
      <c r="H259" s="45" t="inlineStr"/>
    </row>
    <row r="260">
      <c r="A260" s="441" t="n">
        <v>46280</v>
      </c>
      <c r="B260" s="42" t="inlineStr">
        <is>
          <t>早餐</t>
        </is>
      </c>
      <c r="C260" s="36" t="inlineStr">
        <is>
          <t>使用者回報＋既有固定估算</t>
        </is>
      </c>
      <c r="D260" s="45" t="inlineStr">
        <is>
          <t>地瓜 1 份 + 雞胸肉 1 份</t>
        </is>
      </c>
      <c r="E260" s="45" t="n">
        <v>32</v>
      </c>
      <c r="F260" s="45" t="n">
        <v>285</v>
      </c>
      <c r="G260" s="45" t="inlineStr">
        <is>
          <t>沿用追蹤表既有相同組合設定：地瓜 1 份約蛋白質 2g、碳水 35g、125 kcal；雞胸肉 1 份約蛋白質 30g、160 kcal。</t>
        </is>
      </c>
      <c r="H260" s="45" t="n">
        <v>35</v>
      </c>
    </row>
    <row r="261">
      <c r="A261" s="441" t="n">
        <v>46280</v>
      </c>
      <c r="B261" s="42" t="inlineStr">
        <is>
          <t>午餐</t>
        </is>
      </c>
      <c r="C261" s="36" t="inlineStr">
        <is>
          <t>使用者回報</t>
        </is>
      </c>
      <c r="D261" s="45" t="inlineStr">
        <is>
          <t>額外蛋白質 52g</t>
        </is>
      </c>
      <c r="E261" s="45" t="n">
        <v>52</v>
      </c>
      <c r="F261" s="45" t="inlineStr"/>
      <c r="G261" s="45" t="inlineStr">
        <is>
          <t>使用者回報中午攝取蛋白質 52g；未提供來源、品牌、熱量或碳水，因此僅記錄蛋白質，其餘不猜。</t>
        </is>
      </c>
      <c r="H261" s="45" t="inlineStr"/>
    </row>
    <row r="262">
      <c r="A262" s="441" t="n">
        <v>46280</v>
      </c>
      <c r="B262" s="42" t="inlineStr">
        <is>
          <t>晚餐</t>
        </is>
      </c>
      <c r="C262" s="36" t="inlineStr">
        <is>
          <t>使用者回報＋照片份量透明估算</t>
        </is>
      </c>
      <c r="D262" s="45" t="inlineStr">
        <is>
          <t>雞肉飯 1 碗 + 滷蛋 1 顆 + 豆製品配料</t>
        </is>
      </c>
      <c r="E262" s="45" t="n">
        <v>45</v>
      </c>
      <c r="F262" s="45" t="n">
        <v>800</v>
      </c>
      <c r="G262" s="45" t="inlineStr">
        <is>
          <t>依使用者照片可見：白飯、較多撕雞肉、滷蛋 1 顆，以及豆干／豆皮類豆製品配料。實際重量未量測，先透明估算整碗約蛋白質 45g、碳水 90g、800 kcal；主要誤差來自白飯份量、雞肉實際重量、豆製品種類與醬汁用量，熱量可能上下浮動約 150–200 kcal。</t>
        </is>
      </c>
      <c r="H262" s="45" t="n">
        <v>90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12</v>
      </c>
      <c r="H2" t="n">
        <v>2</v>
      </c>
      <c r="I2" s="449" t="inlineStr">
        <is>
          <t>40kg×15/DBR4；40kg×15/DBR3；40kg×15/DBR1；40kg×12/DBR2</t>
        </is>
      </c>
      <c r="J2" s="449" t="inlineStr">
        <is>
          <t>正常</t>
        </is>
      </c>
      <c r="K2" s="449" t="inlineStr">
        <is>
          <t>最近一次訓練中 40 kg 有 3 組落在約 8–20 下、DBR1–3；以可重複的工作組表現優先，不直接選最高重量。</t>
        </is>
      </c>
    </row>
    <row r="3">
      <c r="A3" t="inlineStr">
        <is>
          <t>Gymleco Active Line 321 Chest Press</t>
        </is>
      </c>
      <c r="B3" t="n">
        <v>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2026-09-14</t>
        </is>
      </c>
      <c r="F3" t="n">
        <v>30</v>
      </c>
      <c r="G3" t="n">
        <v>15</v>
      </c>
      <c r="H3" t="n">
        <v>1</v>
      </c>
      <c r="I3" s="449" t="inlineStr">
        <is>
          <t>25kg×15/DBR1；25kg×15/DBR1；30kg×15/DBR1</t>
        </is>
      </c>
      <c r="J3" s="449" t="inlineStr">
        <is>
          <t>正常</t>
        </is>
      </c>
      <c r="K3" s="449" t="inlineStr">
        <is>
          <t>最近一次訓練中 25 kg 有 2 組落在約 8–20 下、DBR1–3；以可重複的工作組表現優先，不直接選最高重量。</t>
        </is>
      </c>
    </row>
    <row r="4">
      <c r="A4" t="inlineStr">
        <is>
          <t>上斜胸推</t>
        </is>
      </c>
      <c r="B4" t="inlineStr"/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20</v>
      </c>
      <c r="G4" t="n">
        <v>12</v>
      </c>
      <c r="H4" t="n">
        <v>1</v>
      </c>
      <c r="I4" s="449" t="inlineStr">
        <is>
          <t>25kg×15/DBR1；25kg×13/DBR1；25kg×9/DBR0；20kg×12/DBR1</t>
        </is>
      </c>
      <c r="J4" s="449" t="inlineStr">
        <is>
          <t>疼痛／不適：暫不自動推薦重量</t>
        </is>
      </c>
      <c r="K4" s="449" t="inlineStr">
        <is>
          <t>最近一次訓練備註出現疼痛／不適；保留歷史重量，但下次先確認無痛，不依重量基準直接加載。</t>
        </is>
      </c>
    </row>
    <row r="5">
      <c r="A5" t="inlineStr">
        <is>
          <t>保加利亞分腿蹲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10</v>
      </c>
      <c r="G5" t="n">
        <v>10</v>
      </c>
      <c r="H5" t="n">
        <v>1</v>
      </c>
      <c r="I5" s="449" t="inlineStr">
        <is>
          <t>左10kg×15/DBR2；左10kg×15/DBR2；左10kg×12/DBR2；左10kg×12/DBR2；左10kg×13/DBR2；右10kg×10/DBR2；左10kg×12/DBR1；右10kg×10/DBR1</t>
        </is>
      </c>
      <c r="J5" s="449" t="inlineStr">
        <is>
          <t>正常</t>
        </is>
      </c>
      <c r="K5" s="449" t="inlineStr">
        <is>
          <t>最近一次訓練中 10 kg 有 8 組落在約 8–20 下、DBR1–3；以可重複的工作組表現優先，不直接選最高重量。</t>
        </is>
      </c>
    </row>
    <row r="6">
      <c r="A6" t="inlineStr">
        <is>
          <t>划船</t>
        </is>
      </c>
      <c r="B6" t="n">
        <v>26.5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30</v>
      </c>
      <c r="G6" t="n">
        <v>13</v>
      </c>
      <c r="H6" t="n">
        <v>0</v>
      </c>
      <c r="I6" s="449" t="inlineStr">
        <is>
          <t>26.5kg×15/DBR4；26.5kg×15/DBR2；30kg×13/DBR2；30kg×13/DBR0；30kg×13/DBR0</t>
        </is>
      </c>
      <c r="J6" s="449" t="inlineStr">
        <is>
          <t>正常</t>
        </is>
      </c>
      <c r="K6" s="449" t="inlineStr">
        <is>
          <t>最近一次訓練中 26.5 kg 有 1 組落在約 8–20 下、DBR1–3；以可重複的工作組表現優先，不直接選最高重量。</t>
        </is>
      </c>
    </row>
    <row r="7">
      <c r="A7" t="inlineStr">
        <is>
          <t>反向飛鳥</t>
        </is>
      </c>
      <c r="B7" t="n">
        <v>15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15</v>
      </c>
      <c r="G7" t="n">
        <v>11</v>
      </c>
      <c r="H7" t="n">
        <v>1</v>
      </c>
      <c r="I7" s="449" t="inlineStr">
        <is>
          <t>15kg×15/DBR3；15kg×15/DBR1；15kg×13/DBR1；15kg×13/DBR1；15kg×11/DBR1</t>
        </is>
      </c>
      <c r="J7" s="449" t="inlineStr">
        <is>
          <t>正常</t>
        </is>
      </c>
      <c r="K7" s="449" t="inlineStr">
        <is>
          <t>最近一次訓練中 15 kg 有 5 組落在約 8–20 下、DBR1–3；以可重複的工作組表現優先，不直接選最高重量。</t>
        </is>
      </c>
    </row>
    <row r="8">
      <c r="A8" t="inlineStr">
        <is>
          <t>啞鈴側平舉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2026-09-07</t>
        </is>
      </c>
      <c r="F8" t="n">
        <v>10</v>
      </c>
      <c r="G8" t="n">
        <v>15</v>
      </c>
      <c r="H8" t="n">
        <v>0</v>
      </c>
      <c r="I8" s="449" t="inlineStr">
        <is>
          <t>10kg×15/DBR1；10kg×13/DBR1；10kg×14/DBR1；10kg×15/DBR0</t>
        </is>
      </c>
      <c r="J8" s="449" t="inlineStr">
        <is>
          <t>正常</t>
        </is>
      </c>
      <c r="K8" s="449" t="inlineStr">
        <is>
          <t>最近一次訓練中 10 kg 有 3 組落在約 8–20 下、DBR1–3；以可重複的工作組表現優先，不直接選最高重量。</t>
        </is>
      </c>
    </row>
    <row r="9">
      <c r="A9" t="inlineStr">
        <is>
          <t>滑輪下拉</t>
        </is>
      </c>
      <c r="B9" t="n">
        <v>37.5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2026-09-11</t>
        </is>
      </c>
      <c r="F9" t="n">
        <v>37.5</v>
      </c>
      <c r="G9" t="n">
        <v>8</v>
      </c>
      <c r="H9" t="n">
        <v>0</v>
      </c>
      <c r="I9" s="449" t="inlineStr">
        <is>
          <t>37.5kg×13/DBR2；37.5kg×13/DBR2；37.5kg×11/DBR1；37.5kg×8/DBR0</t>
        </is>
      </c>
      <c r="J9" s="449" t="inlineStr">
        <is>
          <t>正常</t>
        </is>
      </c>
      <c r="K9" s="449" t="inlineStr">
        <is>
          <t>最近一次訓練中 37.5 kg 有 3 組落在約 8–20 下、DBR1–3；以可重複的工作組表現優先，不直接選最高重量。</t>
        </is>
      </c>
    </row>
    <row r="10">
      <c r="A10" t="inlineStr">
        <is>
          <t>睾丸繩下拉</t>
        </is>
      </c>
      <c r="B10" t="n">
        <v>6.25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2026-08-14</t>
        </is>
      </c>
      <c r="F10" t="n">
        <v>6.25</v>
      </c>
      <c r="G10" t="n">
        <v>11</v>
      </c>
      <c r="H10" t="n">
        <v>0</v>
      </c>
      <c r="I10" s="449" t="inlineStr">
        <is>
          <t>8.75kg×11/DBR0；8.75kg×10/DBR0；6.25kg×13/DBR0；6.25kg×13/DBR0；6.25kg×11/DBR0</t>
        </is>
      </c>
      <c r="J10" s="449" t="inlineStr">
        <is>
          <t>正常</t>
        </is>
      </c>
      <c r="K10" s="449" t="inlineStr">
        <is>
          <t>最近一次已知組多為力竭；下次採該次較低重量重新建立 DBR1–3 的工作組。</t>
        </is>
      </c>
    </row>
    <row r="11">
      <c r="A11" t="inlineStr">
        <is>
          <t>羅馬尼亞分腿蹲</t>
        </is>
      </c>
      <c r="B11" t="n">
        <v>10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10</v>
      </c>
      <c r="G11" t="n">
        <v>11</v>
      </c>
      <c r="H11" t="n">
        <v>1</v>
      </c>
      <c r="I11" s="449" t="inlineStr">
        <is>
          <t>左10kg×15/DBR3；右10kg×15/DBR3；左10kg×15/DBR2；右10kg×15/DBR2；左10kg×15/DBR1；右10kg×11/DBR1；左10kg×11/DBR2；右10kg×11/DBR1</t>
        </is>
      </c>
      <c r="J11" s="449" t="inlineStr">
        <is>
          <t>正常</t>
        </is>
      </c>
      <c r="K11" s="449" t="inlineStr">
        <is>
          <t>最近一次訓練中 10 kg 有 8 組落在約 8–20 下、DBR1–3；以可重複的工作組表現優先，不直接選最高重量。</t>
        </is>
      </c>
    </row>
    <row r="12">
      <c r="A12" t="inlineStr">
        <is>
          <t>羅馬尼亞蹲</t>
        </is>
      </c>
      <c r="B12" t="n">
        <v>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2026-08-12</t>
        </is>
      </c>
      <c r="F12" t="n">
        <v>5</v>
      </c>
      <c r="G12" t="n">
        <v>14</v>
      </c>
      <c r="H12" t="n">
        <v>0</v>
      </c>
      <c r="I12" s="449" t="inlineStr">
        <is>
          <t>左自重×15/DBR3；右自重×15/DBR3；左5kg×15/DBR2；右5kg×8/DBR0；左5kg×14/DBR0；右5kg×14/DBR0；左5kg×14/DBR0；右5kg×14/DBR0</t>
        </is>
      </c>
      <c r="J12" s="449" t="inlineStr">
        <is>
          <t>正常</t>
        </is>
      </c>
      <c r="K12" s="449" t="inlineStr">
        <is>
          <t>最近一次訓練中 5 kg 有 1 組落在約 8–20 下、DBR1–3；以可重複的工作組表現優先，不直接選最高重量。</t>
        </is>
      </c>
    </row>
    <row r="13">
      <c r="A13" t="inlineStr">
        <is>
          <t>腿內收</t>
        </is>
      </c>
      <c r="B13" t="n">
        <v>37.5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2026-09-11</t>
        </is>
      </c>
      <c r="F13" t="n">
        <v>37.5</v>
      </c>
      <c r="G13" t="n">
        <v>13</v>
      </c>
      <c r="H13" t="n">
        <v>0</v>
      </c>
      <c r="I13" s="449" t="inlineStr">
        <is>
          <t>37.5kg×13/DBR2；37.5kg×13/DBR1；37.5kg×13/DBR1；37.5kg×13/DBR0</t>
        </is>
      </c>
      <c r="J13" s="449" t="inlineStr">
        <is>
          <t>正常</t>
        </is>
      </c>
      <c r="K13" s="449" t="inlineStr">
        <is>
          <t>最近一次訓練中 37.5 kg 有 3 組落在約 8–20 下、DBR1–3；以可重複的工作組表現優先，不直接選最高重量。</t>
        </is>
      </c>
    </row>
    <row r="14">
      <c r="A14" t="inlineStr">
        <is>
          <t>腿外展</t>
        </is>
      </c>
      <c r="B14" t="n">
        <v>45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2026-09-07</t>
        </is>
      </c>
      <c r="F14" t="n">
        <v>45</v>
      </c>
      <c r="G14" t="n">
        <v>15</v>
      </c>
      <c r="H14" t="n">
        <v>2</v>
      </c>
      <c r="I14" s="449" t="inlineStr">
        <is>
          <t>40.8kg×15/DBR4；48.75kg×15/DBR1；45kg×15/DBR1；45kg×12/DBR2；45kg×15/DBR2</t>
        </is>
      </c>
      <c r="J14" s="449" t="inlineStr">
        <is>
          <t>正常</t>
        </is>
      </c>
      <c r="K14" s="449" t="inlineStr">
        <is>
          <t>最近一次訓練中 45 kg 有 3 組落在約 8–20 下、DBR1–3；以可重複的工作組表現優先，不直接選最高重量。</t>
        </is>
      </c>
    </row>
    <row r="15">
      <c r="A15" t="inlineStr">
        <is>
          <t>腿後勾</t>
        </is>
      </c>
      <c r="B15" t="n">
        <v>47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2026-09-14</t>
        </is>
      </c>
      <c r="F15" t="n">
        <v>47</v>
      </c>
      <c r="G15" t="n">
        <v>12</v>
      </c>
      <c r="H15" t="n">
        <v>0</v>
      </c>
      <c r="I15" s="449" t="inlineStr">
        <is>
          <t>47kg×15/DBR2；47kg×12/DBR2；47kg×12/DBR1；47kg×12/DBR0</t>
        </is>
      </c>
      <c r="J15" s="449" t="inlineStr">
        <is>
          <t>正常</t>
        </is>
      </c>
      <c r="K15" s="449" t="inlineStr">
        <is>
          <t>最近一次訓練中 47 kg 有 3 組落在約 8–20 下、DBR1–3；以可重複的工作組表現優先，不直接選最高重量。</t>
        </is>
      </c>
    </row>
    <row r="16">
      <c r="A16" t="inlineStr">
        <is>
          <t>腿推舉</t>
        </is>
      </c>
      <c r="B16" t="n">
        <v>40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2026-08-04</t>
        </is>
      </c>
      <c r="F16" t="n">
        <v>40</v>
      </c>
      <c r="G16" t="n">
        <v>16</v>
      </c>
      <c r="H16" t="n">
        <v>0</v>
      </c>
      <c r="I16" s="449" t="inlineStr">
        <is>
          <t>40kg×16/DBR3；40kg×18/DBR2；40kg×16/DBR1；40kg×16/DBR0</t>
        </is>
      </c>
      <c r="J16" s="449" t="inlineStr">
        <is>
          <t>正常</t>
        </is>
      </c>
      <c r="K16" s="449" t="inlineStr">
        <is>
          <t>最近一次訓練中 40 kg 有 3 組落在約 8–20 下、DBR1–3；以可重複的工作組表現優先，不直接選最高重量。</t>
        </is>
      </c>
    </row>
    <row r="17">
      <c r="A17" t="inlineStr">
        <is>
          <t>臀推機</t>
        </is>
      </c>
      <c r="B17" t="inlineStr"/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12</v>
      </c>
      <c r="H17" t="n">
        <v>2</v>
      </c>
      <c r="I17" s="449" t="inlineStr">
        <is>
          <t>20kg×12/DBR3；20kg×12/DBR2；20kg×12/DBR2</t>
        </is>
      </c>
      <c r="J17" s="449" t="inlineStr">
        <is>
          <t>疼痛／不適：暫不自動推薦重量</t>
        </is>
      </c>
      <c r="K17" s="449" t="inlineStr">
        <is>
          <t>最近一次訓練備註出現疼痛／不適；保留歷史重量，但下次先確認無痛，不依重量基準直接加載。</t>
        </is>
      </c>
    </row>
    <row r="18">
      <c r="A18" t="inlineStr">
        <is>
          <t>蝴蝶機夾胸</t>
        </is>
      </c>
      <c r="B18" t="n">
        <v>25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2026-08-12</t>
        </is>
      </c>
      <c r="F18" t="n">
        <v>20</v>
      </c>
      <c r="G18" t="n">
        <v>13</v>
      </c>
      <c r="H18" t="n">
        <v>0</v>
      </c>
      <c r="I18" s="449" t="inlineStr">
        <is>
          <t>25kg×15/DBR3；20kg×15/DBR0；25kg×7/DBR0；20kg×13/DBR0</t>
        </is>
      </c>
      <c r="J18" s="449" t="inlineStr">
        <is>
          <t>正常</t>
        </is>
      </c>
      <c r="K18" s="449" t="inlineStr">
        <is>
          <t>最近一次訓練中 25 kg 有 1 組落在約 8–20 下、DBR1–3；以可重複的工作組表現優先，不直接選最高重量。</t>
        </is>
      </c>
    </row>
    <row r="19">
      <c r="A19" t="inlineStr">
        <is>
          <t>飛鳥夾胸</t>
        </is>
      </c>
      <c r="B19" t="n">
        <v>20</v>
      </c>
      <c r="C19" t="inlineStr">
        <is>
          <t>10–15（特殊動作可依既有表現調整）</t>
        </is>
      </c>
      <c r="D19" t="inlineStr">
        <is>
          <t>1–3；最後一組可視情況 DBR0</t>
        </is>
      </c>
      <c r="E19" t="inlineStr">
        <is>
          <t>2026-08-28</t>
        </is>
      </c>
      <c r="F19" t="n">
        <v>20</v>
      </c>
      <c r="G19" t="n">
        <v>10</v>
      </c>
      <c r="H19" t="n">
        <v>0</v>
      </c>
      <c r="I19" s="449" t="inlineStr">
        <is>
          <t>20kg×15/DBR3；20kg×14/DBR2；20kg×12/DBR1；20kg×10/DBR0</t>
        </is>
      </c>
      <c r="J19" s="449" t="inlineStr">
        <is>
          <t>正常</t>
        </is>
      </c>
      <c r="K19" s="449" t="inlineStr">
        <is>
          <t>最近一次訓練中 20 kg 有 3 組落在約 8–20 下、DBR1–3；以可重複的工作組表現優先，不直接選最高重量。</t>
        </is>
      </c>
    </row>
  </sheetData>
  <autoFilter ref="A1:K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2026-09-15T12:27:54Z</dcterms:modified>
</cp:coreProperties>
</file>