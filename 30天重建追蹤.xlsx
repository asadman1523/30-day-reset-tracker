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>
        <v>46272</v>
      </c>
      <c r="B157" s="34" t="inlineStr">
        <is>
          <t>重訓</t>
        </is>
      </c>
      <c r="C157" s="34" t="inlineStr">
        <is>
          <t>上斜胸推</t>
        </is>
      </c>
      <c r="D157" s="410" t="n">
        <v>1</v>
      </c>
      <c r="E157" s="411" t="n">
        <v>25</v>
      </c>
      <c r="F157" s="411" t="n">
        <v>15</v>
      </c>
      <c r="G157" s="411" t="n">
        <v>2</v>
      </c>
      <c r="H157" s="412">
        <f>IF(OR(E157="",F157=""),"",E157*F157)</f>
        <v/>
      </c>
      <c r="I157" s="44" t="inlineStr">
        <is>
          <t>30°啞鈴上斜胸推；重量為兩支啞鈴合計 25 kg（每手 12.5 kg）。</t>
        </is>
      </c>
    </row>
    <row r="158">
      <c r="A158" s="403" t="n">
        <v>46272</v>
      </c>
      <c r="B158" s="34" t="inlineStr">
        <is>
          <t>重訓</t>
        </is>
      </c>
      <c r="C158" s="34" t="inlineStr">
        <is>
          <t>上斜胸推</t>
        </is>
      </c>
      <c r="D158" s="410" t="n">
        <v>2</v>
      </c>
      <c r="E158" s="411" t="n">
        <v>25</v>
      </c>
      <c r="F158" s="411" t="n">
        <v>14</v>
      </c>
      <c r="G158" s="411" t="n">
        <v>2</v>
      </c>
      <c r="H158" s="412">
        <f>IF(OR(E158="",F158=""),"",E158*F158)</f>
        <v/>
      </c>
      <c r="I158" s="44" t="inlineStr">
        <is>
          <t>30°啞鈴上斜胸推；重量為兩支啞鈴合計 25 kg（每手 12.5 kg）。</t>
        </is>
      </c>
    </row>
    <row r="159">
      <c r="A159" s="403" t="n">
        <v>46272</v>
      </c>
      <c r="B159" s="34" t="inlineStr">
        <is>
          <t>重訓</t>
        </is>
      </c>
      <c r="C159" s="34" t="inlineStr">
        <is>
          <t>上斜胸推</t>
        </is>
      </c>
      <c r="D159" s="410" t="n">
        <v>3</v>
      </c>
      <c r="E159" s="411" t="n">
        <v>15</v>
      </c>
      <c r="F159" s="411" t="n">
        <v>11</v>
      </c>
      <c r="G159" s="411" t="n">
        <v>2</v>
      </c>
      <c r="H159" s="412">
        <f>IF(OR(E159="",F159=""),"",E159*F159)</f>
        <v/>
      </c>
      <c r="I159" s="44" t="inlineStr">
        <is>
          <t>30°啞鈴上斜胸推；重量為兩支啞鈴合計 15 kg（每手 7.5 kg）。</t>
        </is>
      </c>
    </row>
    <row r="160">
      <c r="A160" s="403" t="n">
        <v>46272</v>
      </c>
      <c r="B160" s="34" t="inlineStr">
        <is>
          <t>重訓</t>
        </is>
      </c>
      <c r="C160" s="34" t="inlineStr">
        <is>
          <t>上斜胸推</t>
        </is>
      </c>
      <c r="D160" s="410" t="n">
        <v>4</v>
      </c>
      <c r="E160" s="411" t="n">
        <v>20</v>
      </c>
      <c r="F160" s="411" t="n">
        <v>13</v>
      </c>
      <c r="G160" s="411" t="n">
        <v>2</v>
      </c>
      <c r="H160" s="412">
        <f>IF(OR(E160="",F160=""),"",E160*F160)</f>
        <v/>
      </c>
      <c r="I160" s="44" t="inlineStr">
        <is>
          <t>30°啞鈴上斜胸推；重量為兩支啞鈴合計 20 kg（每手 10 kg）。</t>
        </is>
      </c>
    </row>
    <row r="161">
      <c r="A161" s="403" t="n">
        <v>46272</v>
      </c>
      <c r="B161" s="34" t="inlineStr">
        <is>
          <t>重訓</t>
        </is>
      </c>
      <c r="C161" s="34" t="inlineStr">
        <is>
          <t>划船</t>
        </is>
      </c>
      <c r="D161" s="410" t="n">
        <v>1</v>
      </c>
      <c r="E161" s="411" t="n">
        <v>26.5</v>
      </c>
      <c r="F161" s="411" t="n">
        <v>15</v>
      </c>
      <c r="G161" s="411" t="n">
        <v>4</v>
      </c>
      <c r="H161" s="412">
        <f>IF(OR(E161="",F161=""),"",E161*F161)</f>
        <v/>
      </c>
      <c r="I161" s="44" t="inlineStr">
        <is>
          <t>使用者回報。</t>
        </is>
      </c>
    </row>
    <row r="162">
      <c r="A162" s="403" t="n">
        <v>46272</v>
      </c>
      <c r="B162" s="34" t="inlineStr">
        <is>
          <t>重訓</t>
        </is>
      </c>
      <c r="C162" s="34" t="inlineStr">
        <is>
          <t>划船</t>
        </is>
      </c>
      <c r="D162" s="410" t="n">
        <v>2</v>
      </c>
      <c r="E162" s="411" t="n">
        <v>26.5</v>
      </c>
      <c r="F162" s="411" t="n">
        <v>15</v>
      </c>
      <c r="G162" s="411" t="n">
        <v>2</v>
      </c>
      <c r="H162" s="412">
        <f>IF(OR(E162="",F162=""),"",E162*F162)</f>
        <v/>
      </c>
      <c r="I162" s="44" t="inlineStr">
        <is>
          <t>使用者更正：第二組仍為 26.5 kg，非 30 kg。</t>
        </is>
      </c>
    </row>
    <row r="163">
      <c r="A163" s="403" t="n">
        <v>46272</v>
      </c>
      <c r="B163" s="34" t="inlineStr">
        <is>
          <t>重訓</t>
        </is>
      </c>
      <c r="C163" s="34" t="inlineStr">
        <is>
          <t>划船</t>
        </is>
      </c>
      <c r="D163" s="410" t="n">
        <v>3</v>
      </c>
      <c r="E163" s="411" t="n">
        <v>30</v>
      </c>
      <c r="F163" s="411" t="n">
        <v>13</v>
      </c>
      <c r="G163" s="411" t="n">
        <v>2</v>
      </c>
      <c r="H163" s="412">
        <f>IF(OR(E163="",F163=""),"",E163*F163)</f>
        <v/>
      </c>
      <c r="I163" s="44" t="inlineStr">
        <is>
          <t>使用者回報。</t>
        </is>
      </c>
    </row>
    <row r="164">
      <c r="A164" s="403" t="n">
        <v>46272</v>
      </c>
      <c r="B164" s="34" t="inlineStr">
        <is>
          <t>重訓</t>
        </is>
      </c>
      <c r="C164" s="34" t="inlineStr">
        <is>
          <t>划船</t>
        </is>
      </c>
      <c r="D164" s="410" t="n">
        <v>4</v>
      </c>
      <c r="E164" s="411" t="n">
        <v>30</v>
      </c>
      <c r="F164" s="411" t="n">
        <v>13</v>
      </c>
      <c r="G164" s="411" t="n">
        <v>0</v>
      </c>
      <c r="H164" s="412">
        <f>IF(OR(E164="",F164=""),"",E164*F164)</f>
        <v/>
      </c>
      <c r="I164" s="44" t="inlineStr">
        <is>
          <t>使用者回報。</t>
        </is>
      </c>
    </row>
    <row r="165">
      <c r="A165" s="403" t="n">
        <v>46272</v>
      </c>
      <c r="B165" s="34" t="inlineStr">
        <is>
          <t>重訓</t>
        </is>
      </c>
      <c r="C165" s="34" t="inlineStr">
        <is>
          <t>划船</t>
        </is>
      </c>
      <c r="D165" s="410" t="n">
        <v>5</v>
      </c>
      <c r="E165" s="411" t="n">
        <v>30</v>
      </c>
      <c r="F165" s="411" t="n">
        <v>13</v>
      </c>
      <c r="G165" s="411" t="n">
        <v>0</v>
      </c>
      <c r="H165" s="412">
        <f>IF(OR(E165="",F165=""),"",E165*F165)</f>
        <v/>
      </c>
      <c r="I165" s="44" t="inlineStr">
        <is>
          <t>使用者補充：還有一組 30kg × 13，DBR0。</t>
        </is>
      </c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2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  <row r="214">
      <c r="A214" s="441" t="n">
        <v>46271</v>
      </c>
      <c r="B214" s="42" t="inlineStr">
        <is>
          <t>早餐</t>
        </is>
      </c>
      <c r="C214" s="36" t="inlineStr">
        <is>
          <t>使用者回報＋份量估算</t>
        </is>
      </c>
      <c r="D214" s="45" t="inlineStr">
        <is>
          <t>繼光香香雞 1 份</t>
        </is>
      </c>
      <c r="E214" s="45" t="n">
        <v>47</v>
      </c>
      <c r="F214" s="45" t="n">
        <v>520</v>
      </c>
      <c r="G214" s="45" t="inlineStr">
        <is>
          <t>使用者回報早餐吃 1 份繼光香香雞；以一般單份份量透明估算約蛋白質 47g、520 kcal。</t>
        </is>
      </c>
      <c r="H214" s="45" t="inlineStr"/>
    </row>
    <row r="215">
      <c r="A215" s="441" t="n">
        <v>46271</v>
      </c>
      <c r="B215" s="42" t="inlineStr">
        <is>
          <t>晚餐</t>
        </is>
      </c>
      <c r="C215" s="36" t="inlineStr">
        <is>
          <t>使用者回報＋照片估算</t>
        </is>
      </c>
      <c r="D215" s="45" t="inlineStr">
        <is>
          <t>築間火鍋：大份板腱牛 1 份＋高麗菜 3 份</t>
        </is>
      </c>
      <c r="E215" s="45" t="n">
        <v>56</v>
      </c>
      <c r="F215" s="45" t="n">
        <v>575</v>
      </c>
      <c r="G215" s="45" t="inlineStr">
        <is>
          <t>使用者回報晚餐為大份板腱牛與高麗菜 3 份；依照片估算板腱牛約 52g 蛋白質、500 kcal，高麗菜 3 份約 4g 蛋白質、75 kcal。未計入照片中未明確回報食用的其他肉盤、醬料與湯底。</t>
        </is>
      </c>
      <c r="H215" s="45" t="inlineStr"/>
    </row>
    <row r="216">
      <c r="A216" s="441" t="n">
        <v>46271</v>
      </c>
      <c r="B216" s="42" t="inlineStr">
        <is>
          <t>晚餐</t>
        </is>
      </c>
      <c r="C216" s="36" t="inlineStr">
        <is>
          <t>使用者回報</t>
        </is>
      </c>
      <c r="D216" s="45" t="inlineStr">
        <is>
          <t>晚間額外蛋白質 56g</t>
        </is>
      </c>
      <c r="E216" s="45" t="n">
        <v>56</v>
      </c>
      <c r="F216" s="45" t="inlineStr"/>
      <c r="G216" s="45" t="inlineStr">
        <is>
          <t>使用者回報晚間另外喝了蛋白質 56g；未提供品牌、來源、熱量或碳水，因此僅記錄蛋白質 56g，其餘不猜。</t>
        </is>
      </c>
      <c r="H216" s="45" t="inlineStr"/>
    </row>
    <row r="217">
      <c r="A217" s="441" t="n">
        <v>46272</v>
      </c>
      <c r="B217" s="42" t="inlineStr">
        <is>
          <t>早餐</t>
        </is>
      </c>
      <c r="C217" s="36" t="inlineStr">
        <is>
          <t>使用者回報＋7-ELEVEN公開資料與第三方價位重量估算</t>
        </is>
      </c>
      <c r="D217" s="45" t="inlineStr">
        <is>
          <t>7-ELEVEN 30元地瓜</t>
        </is>
      </c>
      <c r="E217" s="45" t="n">
        <v>2.3</v>
      </c>
      <c r="F217" s="45" t="n">
        <v>162</v>
      </c>
      <c r="G217" s="45" t="inlineStr">
        <is>
          <t>7-ELEVEN官方標示現蒸地瓜25–40元依重量計價，未公開各價位固定重量；第三方2026消費者整理估30元約120–170g，本次取中間值145g。參考7-ELEVEN台農57號地瓜商品120g營養標示，換算145g約162 kcal、蛋白質2.3g、碳水37.7g。</t>
        </is>
      </c>
      <c r="H217" s="45" t="n">
        <v>37.7</v>
      </c>
    </row>
    <row r="218">
      <c r="A218" s="441" t="n">
        <v>46272</v>
      </c>
      <c r="B218" s="42" t="inlineStr">
        <is>
          <t>早餐</t>
        </is>
      </c>
      <c r="C218" s="36" t="inlineStr">
        <is>
          <t>使用者回報＋既有同款紀錄</t>
        </is>
      </c>
      <c r="D218" s="45" t="inlineStr">
        <is>
          <t>7-ELEVEN 21Plus 剝皮辣椒雞胸肉 1 包（145g）</t>
        </is>
      </c>
      <c r="E218" s="45" t="n">
        <v>30</v>
      </c>
      <c r="F218" s="45" t="n">
        <v>163</v>
      </c>
      <c r="G218" s="45" t="inlineStr">
        <is>
          <t>沿用追蹤表先前同款紀錄：約蛋白質30g、163 kcal；未取得可靠碳水標示，因此碳水留白。</t>
        </is>
      </c>
      <c r="H218" s="45" t="inlineStr"/>
    </row>
    <row r="219">
      <c r="A219" s="441" t="n">
        <v>46272</v>
      </c>
      <c r="B219" s="42" t="inlineStr">
        <is>
          <t>晚餐</t>
        </is>
      </c>
      <c r="C219" s="36" t="inlineStr">
        <is>
          <t>使用者回報＋一般便當份量透明估算</t>
        </is>
      </c>
      <c r="D219" s="45" t="inlineStr">
        <is>
          <t>腿庫肉 1 份</t>
        </is>
      </c>
      <c r="E219" s="45" t="n">
        <v>28</v>
      </c>
      <c r="F219" s="45" t="n">
        <v>400</v>
      </c>
      <c r="G219" s="45" t="inlineStr">
        <is>
          <t>使用者回報腿庫便當；未提供重量，先以一般便當腿庫肉份量估算約蛋白質28g、400 kcal，實際依肥瘦與帶皮比例可能有明顯差異。</t>
        </is>
      </c>
      <c r="H219" s="45" t="inlineStr"/>
    </row>
    <row r="220">
      <c r="A220" s="441" t="n">
        <v>46272</v>
      </c>
      <c r="B220" s="42" t="inlineStr">
        <is>
          <t>晚餐</t>
        </is>
      </c>
      <c r="C220" s="36" t="inlineStr">
        <is>
          <t>使用者回報＋一般便當份量透明估算</t>
        </is>
      </c>
      <c r="D220" s="45" t="inlineStr">
        <is>
          <t>白飯 1 份</t>
        </is>
      </c>
      <c r="E220" s="45" t="n">
        <v>5</v>
      </c>
      <c r="F220" s="45" t="n">
        <v>280</v>
      </c>
      <c r="G220" s="45" t="inlineStr">
        <is>
          <t>未提供飯量，先以一般便當白飯份量估算約蛋白質5g、碳水60g、280 kcal。</t>
        </is>
      </c>
      <c r="H220" s="45" t="n">
        <v>60</v>
      </c>
    </row>
    <row r="221">
      <c r="A221" s="441" t="n">
        <v>46272</v>
      </c>
      <c r="B221" s="42" t="inlineStr">
        <is>
          <t>晚餐</t>
        </is>
      </c>
      <c r="C221" s="36" t="inlineStr">
        <is>
          <t>使用者回報＋一般便當配菜透明估算</t>
        </is>
      </c>
      <c r="D221" s="45" t="inlineStr">
        <is>
          <t>便當配菜 2 份</t>
        </is>
      </c>
      <c r="E221" s="45" t="n">
        <v>4</v>
      </c>
      <c r="F221" s="45" t="n">
        <v>120</v>
      </c>
      <c r="G221" s="45" t="inlineStr">
        <is>
          <t>使用者回報兩樣菜，未提供菜色與份量，先以一般便當兩份配菜估算約蛋白質4g、碳水15g、120 kcal。</t>
        </is>
      </c>
      <c r="H221" s="45" t="n">
        <v>15</v>
      </c>
    </row>
    <row r="222">
      <c r="A222" s="441" t="n">
        <v>46272</v>
      </c>
      <c r="B222" s="42" t="inlineStr">
        <is>
          <t>晚餐</t>
        </is>
      </c>
      <c r="C222" s="36" t="inlineStr">
        <is>
          <t>使用者回報＋一般雞蛋透明估算</t>
        </is>
      </c>
      <c r="D222" s="45" t="inlineStr">
        <is>
          <t>蛋 1 顆</t>
        </is>
      </c>
      <c r="E222" s="45" t="n">
        <v>6.5</v>
      </c>
      <c r="F222" s="45" t="n">
        <v>75</v>
      </c>
      <c r="G222" s="45" t="inlineStr">
        <is>
          <t>未提供烹調方式，先以一般雞蛋1顆估算約蛋白質6.5g、碳水1g、75 kcal。</t>
        </is>
      </c>
      <c r="H222" s="45" t="n">
        <v>1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2026-09-07</t>
        </is>
      </c>
      <c r="F2" t="n">
        <v>20</v>
      </c>
      <c r="G2" t="n">
        <v>13</v>
      </c>
      <c r="H2" t="n">
        <v>2</v>
      </c>
      <c r="I2" s="449" t="inlineStr">
        <is>
          <t>25kg×15/DBR2；25kg×14/DBR2；15kg×11/DBR2；20kg×13/DBR2</t>
        </is>
      </c>
      <c r="J2" s="449" t="inlineStr">
        <is>
          <t>正常</t>
        </is>
      </c>
      <c r="K2" s="449" t="inlineStr">
        <is>
          <t>最近一次訓練中 25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2026-09-07</t>
        </is>
      </c>
      <c r="F3" t="n">
        <v>30</v>
      </c>
      <c r="G3" t="n">
        <v>13</v>
      </c>
      <c r="H3" t="n">
        <v>0</v>
      </c>
      <c r="I3" s="449" t="inlineStr">
        <is>
          <t>26.5kg×15/DBR4；26.5kg×15/DBR2；30kg×13/DBR2；30kg×13/DBR0；30kg×13/DBR0</t>
        </is>
      </c>
      <c r="J3" s="449" t="inlineStr">
        <is>
          <t>正常</t>
        </is>
      </c>
      <c r="K3" s="449" t="inlineStr">
        <is>
          <t>最近一次訓練中 26.5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2026-09-07T13:33:56Z</dcterms:modified>
</cp:coreProperties>
</file>